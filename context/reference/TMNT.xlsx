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5"/>
    <sheet state="visible" name="Functional Requirements" sheetId="2" r:id="rId6"/>
    <sheet state="visible" name="Non-functional Requirements" sheetId="3" r:id="rId7"/>
    <sheet state="visible" name="Team Split" sheetId="4" r:id="rId8"/>
    <sheet state="visible" name="TMNT Theme Bible" sheetId="5" r:id="rId9"/>
    <sheet state="visible" name="Open Questions" sheetId="6" r:id="rId10"/>
    <sheet state="visible" name="Spec Coverage" sheetId="7" r:id="rId11"/>
  </sheets>
  <definedNames>
    <definedName hidden="1" localSheetId="1" name="_xlnm._FilterDatabase">'Functional Requirements'!$A$1:$N$143</definedName>
  </definedNames>
  <calcPr/>
</workbook>
</file>

<file path=xl/sharedStrings.xml><?xml version="1.0" encoding="utf-8"?>
<sst xmlns="http://schemas.openxmlformats.org/spreadsheetml/2006/main" count="1776" uniqueCount="814">
  <si>
    <t>DMET 502 Project 1: TMNT tower defense requirements</t>
  </si>
  <si>
    <t>Theme: players are the turtles (Leonardo = Melee, Raphael = Ranged, Donatello = Defense); enemies are Foot Soldiers (Easy), Bebop (Medium) and Rocksteady (Hard). Home base = the turtles' sewer Lair. Collectible = pizza.</t>
  </si>
  <si>
    <t>Tabs</t>
  </si>
  <si>
    <t>• Functional Requirements: every feature as a user story, with dependencies, spec section, priority, sprint, owner, effort, status and reviewer. Filter by Owner to get each person's list.</t>
  </si>
  <si>
    <t>• Non-functional Requirements: quality rules (modern OpenGL only, performance, robustness, UX, licensing).</t>
  </si>
  <si>
    <t>• Team Split: roles, names (fill in), workload per sprint (live formulas), sprint calendar and working rules.</t>
  </si>
  <si>
    <t>• TMNT Theme Bible: character roster with stats and design notes, environment elements, cutscene storyboard, palette.</t>
  </si>
  <si>
    <t>• Open Questions: spec ambiguities to ask the TA, with the default we build until answered.</t>
  </si>
  <si>
    <t>• Spec Coverage: how many requirements trace to each section of the project description, and progress per section.</t>
  </si>
  <si>
    <t>What to edit</t>
  </si>
  <si>
    <t>• Yellow cells: names on Team Split, TA answers on Open Questions. Owner name and Reviewer fill in automatically.</t>
  </si>
  <si>
    <t>• Status column (dropdown): Not started → In progress → Done → Tested (reviewer only) or Blocked.</t>
  </si>
  <si>
    <t>• Owner / Sprint columns: change them to rebalance; the Team Split and Spec Coverage tables update automatically.</t>
  </si>
  <si>
    <t>Effort points are relative estimates (1 pt ≈ 1–2 focused hours), not marks: the spec gives no mark breakdown.</t>
  </si>
  <si>
    <t>Priority: Must = required by the spec · Bonus = sound bonus (all of §5 needed to earn it) · Optional = nice-to-have · Dev aid = testing helper.</t>
  </si>
  <si>
    <t>Req. No.</t>
  </si>
  <si>
    <t>Feature area</t>
  </si>
  <si>
    <t>Depends on</t>
  </si>
  <si>
    <t>As a
 [stakeholder]</t>
  </si>
  <si>
    <t>I should be able to
 [action]</t>
  </si>
  <si>
    <t>Extra comments / Rules you MUST follow</t>
  </si>
  <si>
    <t>Spec §</t>
  </si>
  <si>
    <t>Priority</t>
  </si>
  <si>
    <t>Sprint</t>
  </si>
  <si>
    <t>Owner</t>
  </si>
  <si>
    <t>Owner name</t>
  </si>
  <si>
    <t>Effort (pts)</t>
  </si>
  <si>
    <t>Status</t>
  </si>
  <si>
    <t>Reviewer</t>
  </si>
  <si>
    <t>Engine &amp; setup</t>
  </si>
  <si>
    <t>—</t>
  </si>
  <si>
    <t>Developer</t>
  </si>
  <si>
    <t>create the game window and a modern OpenGL 3.3+ core-profile context</t>
  </si>
  <si>
    <t>Use GLFW + GLAD (or GLEW) + GLM. Request the 3.3 core profile explicitly and print the GL version at startup. No fixed-function calls anywhere (glBegin/glEnd, glVertex, glColor, glMatrixMode, glPushMatrix): the spec requires modern OpenGL.</t>
  </si>
  <si>
    <t>§1</t>
  </si>
  <si>
    <t>Must</t>
  </si>
  <si>
    <t>A</t>
  </si>
  <si>
    <t>Not started</t>
  </si>
  <si>
    <t>build the whole project from a clean checkout with one documented project file</t>
  </si>
  <si>
    <t>CMake or a Visual Studio solution with dependencies kept in /external. Confirm with the TA which OS/IDE they compile on. Any compilation error = zero for the project.</t>
  </si>
  <si>
    <t>§7</t>
  </si>
  <si>
    <t>compile, link and use GLSL shaders with readable error logs</t>
  </si>
  <si>
    <t>Shader class: load from file, uniform setters (mat4, vec4, float, int). One flat-color shader with u_model, u_projection, u_color, u_tintAmount and u_grayscale covers characters, damage tint and locked cards.</t>
  </si>
  <si>
    <t>draw in a fixed logical world (e.g., 1600 × 900 units) through an orthographic projection</t>
  </si>
  <si>
    <t>All gameplay coordinates are world units, never pixels. Handle window resize with letterboxing so lanes, mouse picking and the HUD stay aligned.</t>
  </si>
  <si>
    <t>run a frame-rate-independent game loop driven by delta time</t>
  </si>
  <si>
    <t>All speeds in units/second and all timers in seconds. Clamp dt (≤ 0.05 s) so dragging the window doesn't teleport entities. Enable vsync.</t>
  </si>
  <si>
    <t>draw reusable primitive meshes: quad, circle/ellipse, triangle, rounded rectangle, arc/ring, polygon and thick line</t>
  </si>
  <si>
    <t>Upload each mesh to a VAO/VBO once at startup and draw it with a model matrix + color. These are the building blocks of every model; never re-upload static geometry every frame.</t>
  </si>
  <si>
    <t>compose models from parts using a transform hierarchy (matrix stack / scene-graph nodes)</t>
  </si>
  <si>
    <t>Each part has a local transform relative to its parent (hand → forearm → upper arm → torso), so one rotation animates the weapon in the hand. Needed for 'weapon animates in the character's hand'.</t>
  </si>
  <si>
    <t>§4.1</t>
  </si>
  <si>
    <t>D</t>
  </si>
  <si>
    <t>render text and numbers on screen</t>
  </si>
  <si>
    <t>Font atlas through stb_truetype or FreeType (extra libraries are allowed). Used by the coin counter, health numbers, card costs, wave banner, menu labels and cutscene subtitles.</t>
  </si>
  <si>
    <t>§4.2</t>
  </si>
  <si>
    <t>C</t>
  </si>
  <si>
    <t>switch between game states: Main Menu, Sound Settings, Cutscene, Playing, Paused, Win and Lose</t>
  </si>
  <si>
    <t>One state machine owns update/render dispatch. Paused, Win and Lose keep drawing the frozen scene under the menu but stop all gameplay updates.</t>
  </si>
  <si>
    <t>§4.3</t>
  </si>
  <si>
    <t>manage turtles, villains, projectiles and collectibles through one shared Entity interface</t>
  </si>
  <si>
    <t>Fields: id, type, lane (const after creation), x, yOffset, width, height, hp, maxHp, state, alive. Virtual update(dt) and draw(). Dead entities are removed at the end of the frame, never while iterating. Agree this interface on day 1: everyone builds on it.</t>
  </si>
  <si>
    <t>§3.1</t>
  </si>
  <si>
    <t>receive keyboard and mouse input and convert the cursor position to world coordinates</t>
  </si>
  <si>
    <t>GLFW callbacks for W, S, Up, Down, Esc, left click and cursor movement. Screen → world conversion must account for the letterboxing.</t>
  </si>
  <si>
    <t>§3.2</t>
  </si>
  <si>
    <t>tune every gameplay number from one Config.h</t>
  </si>
  <si>
    <t>START_COINS, card costs, coin drop value, HP, damage, speeds, attack intervals, jump/duck timings, wave definitions, cutscene length. Rebalancing never touches logic code.</t>
  </si>
  <si>
    <t>randomize lanes, enemy order and spawn timing with a seeded RNG</t>
  </si>
  <si>
    <t>std::mt19937. A debug flag fixes the seed so the video can be recorded reproducibly.</t>
  </si>
  <si>
    <t>load shaders, fonts and sounds through relative paths</t>
  </si>
  <si>
    <t>No absolute paths (C:\Users\...). The TA must be able to build and run straight from the submitted zip.</t>
  </si>
  <si>
    <t>Player</t>
  </si>
  <si>
    <t>see everything drawn in a consistent order</t>
  </si>
  <si>
    <t>Background → environment → lanes and highlights → Lair → collectibles → characters → projectiles → health bars → HUD → menus.</t>
  </si>
  <si>
    <t>§4</t>
  </si>
  <si>
    <t>toggle a debug overlay showing FPS, lane bounds and hitboxes</t>
  </si>
  <si>
    <t>F1 toggles it. Off by default in the submitted build.</t>
  </si>
  <si>
    <t>Dev aid</t>
  </si>
  <si>
    <t>use debug keys to add coins, skip to a wave, kill all enemies or force a loss</t>
  </si>
  <si>
    <t>Speeds up testing and recording the video. Disable or document them before submission.</t>
  </si>
  <si>
    <t>§6</t>
  </si>
  <si>
    <t>Menus &amp; game flow</t>
  </si>
  <si>
    <t>8, 11</t>
  </si>
  <si>
    <t>see menu buttons react when I hover over and click them</t>
  </si>
  <si>
    <t>One Button component (hover = highlight/scale, press = pressed state) reused in all three menus so the UI is consistent.</t>
  </si>
  <si>
    <t>18, 9</t>
  </si>
  <si>
    <t>see the Main Menu when the game launches, before the cutscene</t>
  </si>
  <si>
    <t>Themed screen (sewer background, game title, turtle silhouettes), not a plain rectangle.</t>
  </si>
  <si>
    <t>click Start to play the cutscene and then start the game</t>
  </si>
  <si>
    <t>Start → Cutscene → Playing. Every start creates a fresh game state (coins = START_COINS, wave 1, no entities).</t>
  </si>
  <si>
    <t>click Exit to close the application</t>
  </si>
  <si>
    <t>glfwSetWindowShouldClose; free GL and audio resources; no crash on exit.</t>
  </si>
  <si>
    <t>open the Sound Settings from the Main Menu</t>
  </si>
  <si>
    <t>Bonus. The button must be on the Main Menu to qualify (§5).</t>
  </si>
  <si>
    <t>§5</t>
  </si>
  <si>
    <t>Bonus</t>
  </si>
  <si>
    <t>press Esc during gameplay to open the Pause Menu</t>
  </si>
  <si>
    <t>Only in the Playing state. While paused nothing moves: entities, projectiles, spawn and wave timers and animations all freeze.</t>
  </si>
  <si>
    <t>click Continue to resume exactly where I left off</t>
  </si>
  <si>
    <t>Pressing Esc again may also resume (optional). Timers resume without a jump.</t>
  </si>
  <si>
    <t>23, 10</t>
  </si>
  <si>
    <t>click Restart in the Pause or Win/Lose menu to start a new game</t>
  </si>
  <si>
    <t>Full reset: coins, wave, spawn queue, all entities, lane selections, card selection, collectibles and music. Assumption: Restart skips the cutscene (see Open Questions).</t>
  </si>
  <si>
    <t>click Return to Main Menu in the Pause or Win/Lose menu</t>
  </si>
  <si>
    <t>Resets the game; pressing Start again replays the cutscene.</t>
  </si>
  <si>
    <t>see a Win/Lose Menu when I win or lose</t>
  </si>
  <si>
    <t>Themed 'Lair Defended!' / 'The Lair Has Fallen' message over the frozen scene, with Restart and Return to Main Menu.</t>
  </si>
  <si>
    <t>see a short controls legend (lanes, cards, W/S, Esc)</t>
  </si>
  <si>
    <t>Not required by the spec, but it helps graders and the video. Put it in the Pause Menu or as a small HUD hint.</t>
  </si>
  <si>
    <t>Optional</t>
  </si>
  <si>
    <t>Cutscene</t>
  </si>
  <si>
    <t>Team member</t>
  </si>
  <si>
    <t>agree a 10–20 s cutscene script and storyboard</t>
  </si>
  <si>
    <t>See the 'TMNT Theme Bible' tab for beats, timing and dialogue. Lock it by the end of Sprint 1 so modeling and animation can start.</t>
  </si>
  <si>
    <t>§2</t>
  </si>
  <si>
    <t>animate cutscene actors and the camera with a keyframe timeline</t>
  </si>
  <si>
    <t>Tracks for position, rotation, scale, alpha and visibility with linear and ease-in-out interpolation. Camera pan/zoom by animating the view matrix.</t>
  </si>
  <si>
    <t>30, 20</t>
  </si>
  <si>
    <t>watch a fully animated 10–20 second cutscene after pressing Start</t>
  </si>
  <si>
    <t>Target 16 s. Log the measured duration in debug builds to prove it stays between 10 and 20 s. Transitions into gameplay automatically.</t>
  </si>
  <si>
    <t>31, 69, 85</t>
  </si>
  <si>
    <t>see at least one turtle and one villain visibly animated and interacting on screen</t>
  </si>
  <si>
    <t>Reuse the gameplay model functions (consistency, less work). Walk cycles, gestures, weapon draws and a clash. Never static images.</t>
  </si>
  <si>
    <t>31, 8</t>
  </si>
  <si>
    <t>follow a short dialogue between the turtles and the villains</t>
  </si>
  <si>
    <t>Subtitle bar or speech bubbles timed on the timeline; the speaker bobs and gestures while their line shows. The story must still read with the text hidden: no text-only storytelling.</t>
  </si>
  <si>
    <t>understand what the turtles are defending and why it matters</t>
  </si>
  <si>
    <t>Show the Lair (the home base) with the last mutagen canister inside. Rocksteady and Bebop lead the Foot Clan to seize it for Shredder; the dialogue says why losing it matters.</t>
  </si>
  <si>
    <t>31, 111</t>
  </si>
  <si>
    <t>recognize the NYC sewer setting from the cutscene</t>
  </si>
  <si>
    <t>Open with an establishing pan through the sewer tunnel using the same environment elements as the game scene.</t>
  </si>
  <si>
    <t>see a smooth transition from the cutscene into gameplay</t>
  </si>
  <si>
    <t>Fade or iris wipe to the playfield. The last shot frames the Lair as it looks in-game, so the hand-off is logical.</t>
  </si>
  <si>
    <t>skip the cutscene with Space or Enter</t>
  </si>
  <si>
    <t>Optional. Ask the TA first whether a skip is acceptable.</t>
  </si>
  <si>
    <t>include Michelangelo (and Splinter) in the cutscene</t>
  </si>
  <si>
    <t>Optional cameo. The spec allows exactly three player types, so the fourth turtle appears only in the cutscene and menu. The required story works without them.</t>
  </si>
  <si>
    <t>Playfield &amp; lanes</t>
  </si>
  <si>
    <t>4, 6</t>
  </si>
  <si>
    <t>see a side-view playfield of at least 3 horizontal lanes</t>
  </si>
  <si>
    <t>Default 4 lanes (configurable, minimum 3). Each lane is an independent battle line, drawn as a sewer walkway with visible separators.</t>
  </si>
  <si>
    <t>7, 39</t>
  </si>
  <si>
    <t>see the turtles' Lair (home base) at the left end of every lane</t>
  </si>
  <si>
    <t>Must be distinct from and clearly visible against the environment through shape, not only color: round vault door with a shell emblem, pipes and lights, spanning all lanes.</t>
  </si>
  <si>
    <t>39, 10</t>
  </si>
  <si>
    <t>Game system</t>
  </si>
  <si>
    <t>place each new turtle at the leftmost position of its chosen lane</t>
  </si>
  <si>
    <t>Spawn x is just right of the Lair. Donatello stays there; the others start walking right immediately.</t>
  </si>
  <si>
    <t>B</t>
  </si>
  <si>
    <t>39, 13</t>
  </si>
  <si>
    <t>spawn enemies at the right-most edge in a randomly chosen lane</t>
  </si>
  <si>
    <t>Spawn x at the right edge (they may start just off-screen and walk in), lane picked by the RNG, then move left toward the Lair.</t>
  </si>
  <si>
    <t>keep every turtle and villain in the lane where it was placed or spawned</t>
  </si>
  <si>
    <t>Lane index is const after creation. Movement is horizontal only; the vertical offset is used just for jump/duck.</t>
  </si>
  <si>
    <t>detect hits between entities, projectiles and collectibles within a lane</t>
  </si>
  <si>
    <t>Overlap on x in the same lane plus a vertical band check (HIGH/LOW attack vs Standing/Jumping/Ducking).</t>
  </si>
  <si>
    <t>Turtle (any)</t>
  </si>
  <si>
    <t>advance automatically from left to right after being placed (except Donatello)</t>
  </si>
  <si>
    <t>Constant walk speed from Config. The walk animation plays while moving.</t>
  </si>
  <si>
    <t>handle a turtle that reaches the right edge</t>
  </si>
  <si>
    <t>Assumption: the turtle walks off-screen and is removed. Confirm with the TA (see Open Questions).</t>
  </si>
  <si>
    <t>Turtle / Villain</t>
  </si>
  <si>
    <t>start attacking as soon as I am placed (turtle) or appear (villain), even with no opponent in my lane</t>
  </si>
  <si>
    <t>Spec snippet: lane 4's player attacks with no enemy, and lane 3's enemy attacks with no player. Attacks fire on a fixed interval from spawn.</t>
  </si>
  <si>
    <t>44, 45</t>
  </si>
  <si>
    <t>stop moving when I meet an opponent in my lane and keep attacking until one of us is defeated</t>
  </si>
  <si>
    <t>Contact = hitboxes overlap in the same lane. If several opponents overlap, fight the nearest one first. The survivor resumes moving once the other is removed.</t>
  </si>
  <si>
    <t>let turtle and villain attacks overlap in the same lane</t>
  </si>
  <si>
    <t>Projectiles from both sides pass through each other without cancelling; both keep attacking until one side dies (lane 2 of the spec snippet).</t>
  </si>
  <si>
    <t>remove projectiles that hit something or leave the playfield</t>
  </si>
  <si>
    <t>Villain shots that reach the left edge simply disappear: only a villain's body reaching the Lair causes a loss. Prevents memory growth during long waves.</t>
  </si>
  <si>
    <t>Villain (any)</t>
  </si>
  <si>
    <t>pass through or overlap other villains in my lane</t>
  </si>
  <si>
    <t>Assumption mirroring the turtle rule: a fast Rocksteady walks through a Foot Soldier that has stopped to fight. Confirm with the TA (see Open Questions).</t>
  </si>
  <si>
    <t>Lane selection &amp; controls</t>
  </si>
  <si>
    <t>11, 39</t>
  </si>
  <si>
    <t>see the entire horizontal lane highlight when my mouse hovers over it</t>
  </si>
  <si>
    <t>The whole lane, not a cell. A semi-transparent overlay so characters stay visible. It follows the cursor every frame and disappears outside the playfield.</t>
  </si>
  <si>
    <t>left-click a lane to select it and lock its highlight, and click it again to deselect it</t>
  </si>
  <si>
    <t>The selected style must differ from hover (brighter fill + border + marker by the Lair). Clicks on the HUD or cards never toggle lanes.</t>
  </si>
  <si>
    <t>9, 11</t>
  </si>
  <si>
    <t>ignore lane, card and jump/duck input outside the Playing state</t>
  </si>
  <si>
    <t>Stops lanes toggling behind the Pause Menu, during the cutscene or after a win/loss. In those states only menu buttons respond.</t>
  </si>
  <si>
    <t>select several lanes at the same time</t>
  </si>
  <si>
    <t>Store selection as a set of lane indices. It persists until toggled and is cleared on Restart/Main Menu.</t>
  </si>
  <si>
    <t>55, 11</t>
  </si>
  <si>
    <t>press W or Up Arrow to make every turtle in all selected lanes jump</t>
  </si>
  <si>
    <t>Jump = vertical arc of fixed duration (Config, e.g., 0.6 s). Ignored by Donatello and by turtles in unselected lanes.</t>
  </si>
  <si>
    <t>press S or Down Arrow to make every turtle in all selected lanes duck</t>
  </si>
  <si>
    <t>Duck while the key is held (spec: 'while pressing'), with a minimum duration. Crouch pose: squashed body, lowered head. Donatello is unaffected.</t>
  </si>
  <si>
    <t>56, 57, 44</t>
  </si>
  <si>
    <t>make jumping avoid low attacks and ducking avoid high attacks</t>
  </si>
  <si>
    <t>Every villain projectile has a band: HIGH (Foot Soldier shuriken) or LOW (Bebop blaster). Standing turtles are hit by both.</t>
  </si>
  <si>
    <t>Player cards &amp; pizza economy</t>
  </si>
  <si>
    <t>start the game with enough pizza (coins) to place at least three Leonardos</t>
  </si>
  <si>
    <t>START_COINS = 30, Leonardo cost = 10. These are assumed values; see Open Question 1 before locking them.</t>
  </si>
  <si>
    <t>8, 59</t>
  </si>
  <si>
    <t>see my pizza total at the top of the screen, updated immediately</t>
  </si>
  <si>
    <t>Pizza icon (the collectible model) + number. Short pulse animation whenever it changes.</t>
  </si>
  <si>
    <t>8, 69</t>
  </si>
  <si>
    <t>see one card per turtle type showing its portrait, name and cost</t>
  </si>
  <si>
    <t>Three cards top-left (Leonardo, Raphael, Donatello). Portraits use the same model functions, scaled down.</t>
  </si>
  <si>
    <t>61, 3</t>
  </si>
  <si>
    <t>see locked cards in grayscale that ignore hover and clicks</t>
  </si>
  <si>
    <t>Grayscale through the shader (luminance), not a grey box drawn on top. No hover highlight, cursor change or selection on a locked card.</t>
  </si>
  <si>
    <t>see unlocked cards in full color that respond to hover and can be selected</t>
  </si>
  <si>
    <t>Hover highlight; tooltip with the turtle's role (optional).</t>
  </si>
  <si>
    <t>62, 59</t>
  </si>
  <si>
    <t>unlock a card automatically when my coins reach its cost</t>
  </si>
  <si>
    <t>Re-checked whenever coins change. At the start only Leonardo is unlocked.</t>
  </si>
  <si>
    <t>lock a card again automatically when my coins fall below its cost</t>
  </si>
  <si>
    <t>e.g., right after buying a turtle.</t>
  </si>
  <si>
    <t>53, 63, 41</t>
  </si>
  <si>
    <t>click an unlocked card to place that turtle on my selected lane</t>
  </si>
  <si>
    <t>Flow: select lane → click card → turtle appears at the lane's leftmost position. Several lanes selected: assumption = most recently selected lane (see Open Questions). With no lane selected, show a hint and spend nothing.</t>
  </si>
  <si>
    <t>66, 59</t>
  </si>
  <si>
    <t>deduct the card's cost when a turtle is placed</t>
  </si>
  <si>
    <t>Atomic purchase: check coins ≥ cost, deduct, spawn, then re-evaluate every card's lock state.</t>
  </si>
  <si>
    <t>see a ninja smoke-puff when a turtle is placed</t>
  </si>
  <si>
    <t>Short scale/alpha particle animation that reinforces the theme.</t>
  </si>
  <si>
    <t>Turtles (players)</t>
  </si>
  <si>
    <t>Leonardo (Melee)</t>
  </si>
  <si>
    <t>be drawn as a detailed turtle with a blue mask and two katanas</t>
  </si>
  <si>
    <t>Parts: shell with plate pattern, plastron, head, blue mask with tails, eyes, arms, hands, legs, knee/elbow pads, belt, two katanas (blade, guard, hilt). Never a single primitive.</t>
  </si>
  <si>
    <t>play idle, walk and katana-swing animations</t>
  </si>
  <si>
    <t>The swing rotates the arm/katana joint around the shoulder: the weapon must animate in the character's hand (spec table). Also provide the jump and crouch poses used by the jump/duck requirements.</t>
  </si>
  <si>
    <t>45, 48</t>
  </si>
  <si>
    <t>advance, hit enemies at close range for 1 damage per attack and survive 5 hits</t>
  </si>
  <si>
    <t>Damage lands on the swing's strike frame when an enemy is in melee range. Starter unit, unlocked from the start.</t>
  </si>
  <si>
    <t>Raphael (Ranged)</t>
  </si>
  <si>
    <t>be drawn as a detailed turtle with a red mask and sai</t>
  </si>
  <si>
    <t>Bulkier stance, throwing pose, sai with three prongs and a grip. Must differ from Leonardo in silhouette and equipment, not only mask color.</t>
  </si>
  <si>
    <t>play idle, walk and throw animations</t>
  </si>
  <si>
    <t>The arm winds back and releases; a new sai appears in his hand after each throw. Also provide jump and crouch poses.</t>
  </si>
  <si>
    <t>45, 75</t>
  </si>
  <si>
    <t>advance and throw sai that deal 1 damage, and survive 5 hits</t>
  </si>
  <si>
    <t>Fires on an interval from the moment he is placed. Unlocks at 2× the Leonardo unlock value (see Open Question 1).</t>
  </si>
  <si>
    <t>throw a sai that spins in flight, animates on impact and disappears on collision</t>
  </si>
  <si>
    <t>Projectile entity modeled as a real sai (blade, prongs, grip), rotating in flight, with an impact flash on hit, then removed. It hits only the first villain it touches (no piercing) and ignores other turtles (never harms players).</t>
  </si>
  <si>
    <t>Donatello (Defense)</t>
  </si>
  <si>
    <t>be drawn as a detailed turtle with a purple mask, bo staff and a shell barricade</t>
  </si>
  <si>
    <t>Wide planted stance, bo staff braced across the body, a shield made from a manhole cover and pipes. Clearly a 'defender' silhouette.</t>
  </si>
  <si>
    <t>play an idle guard animation and a block recoil when hit</t>
  </si>
  <si>
    <t>No walk or attack animation needed. A small staff twirl or shield brace on block.</t>
  </si>
  <si>
    <t>41, 44</t>
  </si>
  <si>
    <t>stay where I am placed and absorb enemy attacks for 7 hits</t>
  </si>
  <si>
    <t>Never moves, never attacks, ignores jump/duck. Enemies that reach him stop and attack him. Unlocks at 3× the Leonardo unlock value (see Open Question 1).</t>
  </si>
  <si>
    <t>protect turtles standing behind me from enemy attacks</t>
  </si>
  <si>
    <t>'Behind' = same lane, left of Donatello (between him and the Lair). Villain projectiles hit him first. Once a turtle walks past him, or he is defeated, that turtle is vulnerable again.</t>
  </si>
  <si>
    <t>pass through or overlap other turtles in my lane</t>
  </si>
  <si>
    <t>Leonardo and Raphael walk through Donatello and each other without blocking.</t>
  </si>
  <si>
    <t>8, 10</t>
  </si>
  <si>
    <t>show my remaining health above or below me at all times</t>
  </si>
  <si>
    <t>Health bar + number. Turtle bars are styled differently from villain bars (green with a shell frame vs red with a Foot frame). Bars follow jumps and stay on top of everything.</t>
  </si>
  <si>
    <t>3, 10</t>
  </si>
  <si>
    <t>turn increasingly red as I lose health</t>
  </si>
  <si>
    <t>tintAmount = 1 − hp/maxHp sent as a uniform, plus an optional white hit flash. The spec also allows scaling the model down per hit instead.</t>
  </si>
  <si>
    <t>be removed from the scene when my health reaches 0</t>
  </si>
  <si>
    <t>Optional short defeat effect (shell spin / smoke) before removal. Frees the lane so enemies resume walking.</t>
  </si>
  <si>
    <t>71, 74</t>
  </si>
  <si>
    <t>deal 1 point of damage per attack (Donatello deals none)</t>
  </si>
  <si>
    <t>Applies to Leonardo and Raphael only.</t>
  </si>
  <si>
    <t>Villains (enemies)</t>
  </si>
  <si>
    <t>Foot Soldier (Easy)</t>
  </si>
  <si>
    <t>be drawn as a detailed Foot Clan ninja</t>
  </si>
  <si>
    <t>Hood, face mask with eye slit, Foot emblem, armor plates, belt, shuriken pouch. Angular and dark purple/black: nothing like a turtle.</t>
  </si>
  <si>
    <t>42, 44</t>
  </si>
  <si>
    <t>walk at normal speed and throw high shuriken that turtles must duck under, starting with 5 lives</t>
  </si>
  <si>
    <t>HIGH-band projectile, 1 damage, fired on an interval from spawn.</t>
  </si>
  <si>
    <t>§3.3</t>
  </si>
  <si>
    <t>Bebop (Medium)</t>
  </si>
  <si>
    <t>be drawn as a detailed mutant warthog with a blaster</t>
  </si>
  <si>
    <t>Mohawk, tusks, sunglasses, vest, belly, arm-mounted blaster. Round, bulky silhouette.</t>
  </si>
  <si>
    <t>walk at normal speed and fire low blaster shots that turtles must jump over, starting with 5 lives</t>
  </si>
  <si>
    <t>LOW-band projectile skimming the floor, 1 damage.</t>
  </si>
  <si>
    <t>Rocksteady (Hard)</t>
  </si>
  <si>
    <t>be drawn as a detailed mutant rhino with a horn and armor</t>
  </si>
  <si>
    <t>Horn, helmet, shoulder armor, heavy fists; the largest villain. Charge pose with dust puffs.</t>
  </si>
  <si>
    <t>42, 48</t>
  </si>
  <si>
    <t>run toward the turtles and attack at close range for 2 damage, starting with 7 lives</t>
  </si>
  <si>
    <t>Speed ≈ 1.8× normal. Assumption: melee hits can't be dodged by jump/duck (see Open Questions).</t>
  </si>
  <si>
    <t>85, 87, 89</t>
  </si>
  <si>
    <t>play walk and attack animations</t>
  </si>
  <si>
    <t>Shuriken throw swing, blaster recoil, Rocksteady punch/charge. Uses the same hierarchy joints as the turtles.</t>
  </si>
  <si>
    <t>86, 88</t>
  </si>
  <si>
    <t>fire projectiles that look clearly different from the turtles'</t>
  </si>
  <si>
    <t>Shuriken = 4-point spinning star; blaster bolt = glowing elongated shot. Never the same shape as the sai.</t>
  </si>
  <si>
    <t>Same HealthBar component as the turtles with the villain style.</t>
  </si>
  <si>
    <t>Same tint uniform as the turtles.</t>
  </si>
  <si>
    <t>be removed from the scene when defeated and drop a collectible</t>
  </si>
  <si>
    <t>Removal + drop happen in the same frame.</t>
  </si>
  <si>
    <t>86, 88, 90</t>
  </si>
  <si>
    <t>deal 1 damage per attack (2 for Rocksteady)</t>
  </si>
  <si>
    <t>Values from Config.</t>
  </si>
  <si>
    <t>trigger the loss when I reach the Lair in any lane</t>
  </si>
  <si>
    <t>x ≤ Lair edge → Lose state immediately.</t>
  </si>
  <si>
    <t>§3.4</t>
  </si>
  <si>
    <t>Waves</t>
  </si>
  <si>
    <t>12, 42</t>
  </si>
  <si>
    <t>run three waves of at least 3, 5 and 10 enemies</t>
  </si>
  <si>
    <t>Wave 1: Foot Soldiers only. Wave 2: Foot Soldiers + Bebop. Wave 3: Foot Soldiers + Bebop + Rocksteady. Default to exactly 3/5/10 (the spec gives minimums, so more is allowed). Data-driven from Config.</t>
  </si>
  <si>
    <t>guarantee each wave includes every enemy type allowed in it</t>
  </si>
  <si>
    <t>Random order and lanes, but at least one of each allowed type, so graders always see the mix.</t>
  </si>
  <si>
    <t>spawn enemies at random intervals during a wave</t>
  </si>
  <si>
    <t>e.g., 3–6 s apart (tunable). Wave 1's first enemy appears about 2 s after gameplay starts: enemies don't wait for the player.</t>
  </si>
  <si>
    <t>start a wave when its first enemy appears and end it when its last enemy appears</t>
  </si>
  <si>
    <t>After the last spawn of a wave, no more enemies of that wave appear.</t>
  </si>
  <si>
    <t>begin the next wave only after every remaining enemy on screen is defeated</t>
  </si>
  <si>
    <t>Short pause (2–3 s) and a banner before the next wave's first spawn.</t>
  </si>
  <si>
    <t>102, 8</t>
  </si>
  <si>
    <t>see which wave I'm on</t>
  </si>
  <si>
    <t>'Wave 2/3' banner at each wave start and a small HUD indicator. Not required, but it makes the logic obvious in the video.</t>
  </si>
  <si>
    <t>Collectibles</t>
  </si>
  <si>
    <t>see a detailed pizza-slice model for collectibles and the coin icon</t>
  </si>
  <si>
    <t>Crust, cheese, pepperoni and a cheese drip. Reused in the HUD counter.</t>
  </si>
  <si>
    <t>95, 104</t>
  </si>
  <si>
    <t>drop a pizza slice where an enemy is defeated</t>
  </si>
  <si>
    <t>Bobbing idle animation; it stays until collected (no timeout).</t>
  </si>
  <si>
    <t>105, 44</t>
  </si>
  <si>
    <t>collect a pizza slice by colliding with it</t>
  </si>
  <si>
    <t>Any turtle overlapping the slice collects it; pop animation + coin counter increment. Drop value configurable (default 15).</t>
  </si>
  <si>
    <t>Win &amp; lose</t>
  </si>
  <si>
    <t>declare a win when every enemy of all three waves is defeated</t>
  </si>
  <si>
    <t>Wave 3 spawning finished AND no villains alive.</t>
  </si>
  <si>
    <t>declare a loss as soon as any villain reaches the Lair</t>
  </si>
  <si>
    <t>Any lane.</t>
  </si>
  <si>
    <t>107, 108</t>
  </si>
  <si>
    <t>freeze everything in the scene on a win or a loss</t>
  </si>
  <si>
    <t>No movement, attacks, projectiles, spawns or animations continue; the scene stays visible under the Win/Lose Menu.</t>
  </si>
  <si>
    <t>resolve a win and a loss in the same frame consistently</t>
  </si>
  <si>
    <t>Check the loss first: an enemy at the Lair means the Lair fell.</t>
  </si>
  <si>
    <t>Scene &amp; environment</t>
  </si>
  <si>
    <t>6, 39</t>
  </si>
  <si>
    <t>see a sewer-tunnel background that fits the TMNT setting</t>
  </si>
  <si>
    <t>Arched brick ceiling, gradient wall and a water channel at the bottom, not a flat fill.</t>
  </si>
  <si>
    <t>see sewer pipes with joints, valves and drips along the walls</t>
  </si>
  <si>
    <t>Environment element 1 of 7 (the spec requires at least 5 distinct ones, integrated naturally). Animated drip particles. Must not cover lanes, characters or health bars.</t>
  </si>
  <si>
    <t>see mutagen barrels with glowing green ooze</t>
  </si>
  <si>
    <t>Environment element 2 of 7 (the spec requires at least 5 distinct ones, integrated naturally). Barrel bands, hazard symbol, pulsing glow. Ties to the story. Must not cover lanes, characters or health bars.</t>
  </si>
  <si>
    <t>see manhole covers and drain grates set into the walkways</t>
  </si>
  <si>
    <t>Environment element 3 of 7 (the spec requires at least 5 distinct ones, integrated naturally). Kept flat on the lane floor so they never hide characters. Must not cover lanes, characters or health bars.</t>
  </si>
  <si>
    <t>see hanging work lamps with light cones</t>
  </si>
  <si>
    <t>Environment element 4 of 7 (the spec requires at least 5 distinct ones, integrated naturally). Subtle flicker animation. Must not cover lanes, characters or health bars.</t>
  </si>
  <si>
    <t>see brick walls with graffiti tags and a lair sign</t>
  </si>
  <si>
    <t>Environment element 5 of 7 (the spec requires at least 5 distinct ones, integrated naturally). Original graffiti shapes, not real-world logos. Must not cover lanes, characters or health bars.</t>
  </si>
  <si>
    <t>see stacked pizza boxes and crates near the Lair</t>
  </si>
  <si>
    <t>Environment element 6 of 7 (the spec requires at least 5 distinct ones, integrated naturally). Sells the turtles' home. Must not cover lanes, characters or health bars.</t>
  </si>
  <si>
    <t>see an animated sewer-water stream with ripples</t>
  </si>
  <si>
    <t>Environment element 7 of 7 (the spec requires at least 5 distinct ones, integrated naturally). Scrolling ripple lines along the bottom channel. Must not cover lanes, characters or health bars.</t>
  </si>
  <si>
    <t>60, 61</t>
  </si>
  <si>
    <t>see a themed HUD that doesn't cover the playfield</t>
  </si>
  <si>
    <t>Reserved top bar: cards top-left, pizza counter top-right, wave indicator top-center (matches the spec snippet layout).</t>
  </si>
  <si>
    <t>see hit sparks and defeat smoke effects</t>
  </si>
  <si>
    <t>Small particle bursts; reinforces feedback.</t>
  </si>
  <si>
    <t>check that every scene component is built from several detailed parts, not one primitive</t>
  </si>
  <si>
    <t>Covers characters, the Lair, environment, projectiles, pizza and cards. The spec's disclaimer says single-primitive components lead to significant grade deductions. List the part count per object next to the Theme Bible roster.</t>
  </si>
  <si>
    <t>review that every asset fits the TMNT sewer theme</t>
  </si>
  <si>
    <t>End of Sprint 3: cutscene, story, environment, characters, weapons and UI all belong to the same world (§4).</t>
  </si>
  <si>
    <t>verify turtles and villains look completely different and each type differs from the others</t>
  </si>
  <si>
    <t>Test: switch the grayscale uniform on for the whole scene. Every type must still be recognizable by shape and equipment alone (recoloring alone fails). Designs must also signal attack type and difficulty: Foot Soldier's overhead throwing pose, Bebop's low-slung blaster, Rocksteady as the biggest and toughest-looking.</t>
  </si>
  <si>
    <t>Sound (bonus)</t>
  </si>
  <si>
    <t>initialize an audio library and load sounds</t>
  </si>
  <si>
    <t>miniaudio (single header), SDL_mixer or irrKlang. If no audio device is found, the game still runs silently.</t>
  </si>
  <si>
    <t>hear looping background music</t>
  </si>
  <si>
    <t>Original or royalty-free/CC0 music, not the TMNT theme song (the video may be published online). Credit sources in the README.</t>
  </si>
  <si>
    <t>hear sound effects for at least 4 interactions</t>
  </si>
  <si>
    <t>Plan 6: lane select click, turtle placement, attack/hit, character death, pizza pickup, win/lose sting.</t>
  </si>
  <si>
    <t>22, 124</t>
  </si>
  <si>
    <t>use a Sound Settings menu to raise, lower or mute the volume</t>
  </si>
  <si>
    <t>Volume +, Volume −, Mute/Unmute and Back, with the current level shown as a bar or %.</t>
  </si>
  <si>
    <t>hear volume and mute changes applied immediately to music and effects</t>
  </si>
  <si>
    <t>Master volume applied to all existing sounds ('correctly modify existing sounds'). Kept for the whole session.</t>
  </si>
  <si>
    <t>pause, resume and restart the music with the game state</t>
  </si>
  <si>
    <t>Music restarts on Restart; win/lose sting plays once.</t>
  </si>
  <si>
    <t>Testing &amp; balancing</t>
  </si>
  <si>
    <t>98, 106</t>
  </si>
  <si>
    <t>balance the economy and difficulty so the game is winnable but not trivial</t>
  </si>
  <si>
    <t>Tune START_COINS, drop value, HP, speeds and attack intervals in Config.h. A playtester who hasn't seen the code should win within 2–3 tries.</t>
  </si>
  <si>
    <t>survive stress cases without crashing</t>
  </si>
  <si>
    <t>Spam clicks, place many turtles in one lane, select all lanes and hold S, pause/resume rapidly, restart 10× in a row, resize and minimize the window.</t>
  </si>
  <si>
    <t>run a full regression pass against this sheet</t>
  </si>
  <si>
    <t>Every row marked Done is checked by its reviewer (not its owner) before it becomes Tested.</t>
  </si>
  <si>
    <t>Video</t>
  </si>
  <si>
    <t>write the video script and shot list</t>
  </si>
  <si>
    <t>Voiceover covers the game description, the aim and how to play. The shot list covers every feature in the recording row.</t>
  </si>
  <si>
    <t>open the video with the required title sequence</t>
  </si>
  <si>
    <t>Exact order: GUC name &amp; logo → DMET 502 Computer Graphics, Winter 2026 → project name → students' names → content → Thank you.</t>
  </si>
  <si>
    <t>record 2–5 minutes of real gameplay with voiceover</t>
  </si>
  <si>
    <t>Target ~4 min at 1080p with a clear mic. Show: menu, cutscene, lane hover/select, card lock/unlock, all 3 turtles, all 3 villains, jump/duck dodges, Donatello protecting, damage tint, pizza pickup, 3 waves, Pause Menu, a win AND a loss, Sound Settings.</t>
  </si>
  <si>
    <t>135, 134</t>
  </si>
  <si>
    <t>edit, length-check and export the video</t>
  </si>
  <si>
    <t>Between 2:00 and 5:00, mp4, no copyrighted music, ends with a 'Thank you' card. It may be published online, so polish it.</t>
  </si>
  <si>
    <t>submit the video link separately through the submission form</t>
  </si>
  <si>
    <t>The spec prefers a separate link via the same form.</t>
  </si>
  <si>
    <t>Submission</t>
  </si>
  <si>
    <t>include a README with build steps, controls and asset credits</t>
  </si>
  <si>
    <t>Team name and members, build steps, controls, and credits for every third-party library, font and sound.</t>
  </si>
  <si>
    <t>build and run the game from the zip on a clean machine</t>
  </si>
  <si>
    <t>Unzip → build → run a full playthrough. One compile error = zero.</t>
  </si>
  <si>
    <t>package only the source files as [Team name]-[Name of one team member].zip</t>
  </si>
  <si>
    <t>.h/.cpp plus the shader, font and sound files needed to run. No build folders, .exe, .obj or .vs. Confirm with the TA that non-code assets may be included.</t>
  </si>
  <si>
    <t>upload the zip to Google Drive and grant the graders access</t>
  </si>
  <si>
    <t>Test the link from an incognito window before submitting.</t>
  </si>
  <si>
    <t>submit through the official form before Mon 2 Nov 2026, 11:59 PM</t>
  </si>
  <si>
    <t>Internal deadline: Sun 1 Nov, 9 PM.</t>
  </si>
  <si>
    <t>Total</t>
  </si>
  <si>
    <t>Non-functional requirements</t>
  </si>
  <si>
    <t>Quality rules that apply across all features. Status is tracked the same way as the functional sheet.</t>
  </si>
  <si>
    <t>Category</t>
  </si>
  <si>
    <t>Requirement</t>
  </si>
  <si>
    <t>How we check it</t>
  </si>
  <si>
    <t>NF1</t>
  </si>
  <si>
    <t>Graphics API</t>
  </si>
  <si>
    <t>Use only modern OpenGL 3.3+ (shaders, VAOs/VBOs). No deprecated fixed-function calls anywhere.</t>
  </si>
  <si>
    <t>Search the code for glBegin, glVertex, glColor3, glMatrixMode, glPushMatrix: zero hits.</t>
  </si>
  <si>
    <t>NF2</t>
  </si>
  <si>
    <t>Build</t>
  </si>
  <si>
    <t>The project compiles with zero errors on the TAs' environment from the submitted zip.</t>
  </si>
  <si>
    <t>Clean-machine build in Sprint 1 and again in Sprint 4.</t>
  </si>
  <si>
    <t>NF3</t>
  </si>
  <si>
    <t>Performance</t>
  </si>
  <si>
    <t>Hold 60 FPS with 30+ entities on screen on a lab-grade PC.</t>
  </si>
  <si>
    <t>Debug overlay FPS during a busy wave 3.</t>
  </si>
  <si>
    <t>NF4</t>
  </si>
  <si>
    <t>Static meshes are uploaded once; only uniforms change per frame.</t>
  </si>
  <si>
    <t>Code review of the draw path.</t>
  </si>
  <si>
    <t>NF5</t>
  </si>
  <si>
    <t>Frame independence</t>
  </si>
  <si>
    <t>Movement, attacks and animations run at the same real-time speed at 30, 60 and 144 Hz.</t>
  </si>
  <si>
    <t>Toggle vsync off/on and compare a turtle crossing a lane.</t>
  </si>
  <si>
    <t>NF6</t>
  </si>
  <si>
    <t>Memory</t>
  </si>
  <si>
    <t>Entities and GL objects are freed; memory doesn't grow across restarts.</t>
  </si>
  <si>
    <t>Restart 10× and watch memory in Task Manager.</t>
  </si>
  <si>
    <t>NF7</t>
  </si>
  <si>
    <t>Robustness</t>
  </si>
  <si>
    <t>No crash under spam clicks, key mashing, many turtles in one lane, rapid pause/resume, resize or minimize.</t>
  </si>
  <si>
    <t>Stress checklist (functional req. 'survive stress cases').</t>
  </si>
  <si>
    <t>NF8</t>
  </si>
  <si>
    <t>Resolution</t>
  </si>
  <si>
    <t>Layout, picking and text stay correct at 1280×720, 1920×1080 and after resizing.</t>
  </si>
  <si>
    <t>Manual check at both sizes.</t>
  </si>
  <si>
    <t>NF9</t>
  </si>
  <si>
    <t>Portability</t>
  </si>
  <si>
    <t>All asset paths are relative; nothing depends on a team member's machine.</t>
  </si>
  <si>
    <t>Run from a freshly unzipped folder.</t>
  </si>
  <si>
    <t>NF10</t>
  </si>
  <si>
    <t>Code quality</t>
  </si>
  <si>
    <t>One class/file pair per system (Game, LaneManager, Entity, Turtle, Villain, Projectile, WaveManager, UI, Menu, Cutscene, Models, Audio); tunables only in Config.h; no magic numbers.</t>
  </si>
  <si>
    <t>Peer review before merging to main.</t>
  </si>
  <si>
    <t>All</t>
  </si>
  <si>
    <t>NF11</t>
  </si>
  <si>
    <t>Version control</t>
  </si>
  <si>
    <t>Git repo with one branch per member; main always builds; merge at least daily.</t>
  </si>
  <si>
    <t>Main builds after every merge.</t>
  </si>
  <si>
    <t>NF12</t>
  </si>
  <si>
    <t>UX: Feedback</t>
  </si>
  <si>
    <t>Every click and key press gives a visible response within one frame (hover, press, highlight, jump).</t>
  </si>
  <si>
    <t>Play-test checklist.</t>
  </si>
  <si>
    <t>NF13</t>
  </si>
  <si>
    <t>UX: Visibility</t>
  </si>
  <si>
    <t>Coins, wave, every health value and every card's lock state are always visible.</t>
  </si>
  <si>
    <t>Screenshot review at the busiest moment.</t>
  </si>
  <si>
    <t>NF14</t>
  </si>
  <si>
    <t>UX: Learnability</t>
  </si>
  <si>
    <t>A first-time player understands how to place, select lanes and dodge within one minute.</t>
  </si>
  <si>
    <t>Controls legend + hallway test with a friend.</t>
  </si>
  <si>
    <t>NF15</t>
  </si>
  <si>
    <t>UX: Error design</t>
  </si>
  <si>
    <t>Invalid actions (card with no lane selected, clicking a locked card) are explained or safely ignored.</t>
  </si>
  <si>
    <t>Try every invalid action once.</t>
  </si>
  <si>
    <t>NF16</t>
  </si>
  <si>
    <t>UI consistency</t>
  </si>
  <si>
    <t>One font, one button style and one palette across all menus and the HUD.</t>
  </si>
  <si>
    <t>Side-by-side screenshot review.</t>
  </si>
  <si>
    <t>NF17</t>
  </si>
  <si>
    <t>Visual quality</t>
  </si>
  <si>
    <t>Every object is composed of multiple detailed parts with smooth animation; no single-primitive models.</t>
  </si>
  <si>
    <t>Grayscale test + parts-count review per model (≥ 12 parts per character).</t>
  </si>
  <si>
    <t>NF18</t>
  </si>
  <si>
    <t>Theme consistency</t>
  </si>
  <si>
    <t>Cutscene, story, environment, characters, weapons and UI all belong to the TMNT sewer world.</t>
  </si>
  <si>
    <t>Theme review at the end of Sprint 3.</t>
  </si>
  <si>
    <t>NF19</t>
  </si>
  <si>
    <t>Accessibility</t>
  </si>
  <si>
    <t>Health is readable without relying on color alone (bar length + number).</t>
  </si>
  <si>
    <t>Grayscale test.</t>
  </si>
  <si>
    <t>NF20</t>
  </si>
  <si>
    <t>Licensing</t>
  </si>
  <si>
    <t>Original or royalty-free/CC0 audio and fonts only; no TMNT theme song, official logo or ripped sprites (the video may be published online).</t>
  </si>
  <si>
    <t>Credits list in the README.</t>
  </si>
  <si>
    <t>Team split: who owns what</t>
  </si>
  <si>
    <t>Split by system so people rarely edit the same files. Fill in names in the yellow cells; the Owner name column on the requirements sheet updates automatically.</t>
  </si>
  <si>
    <t>Member</t>
  </si>
  <si>
    <t>Name (fill in)</t>
  </si>
  <si>
    <t>Role</t>
  </si>
  <si>
    <t>Owns</t>
  </si>
  <si>
    <t>Main files</t>
  </si>
  <si>
    <t>Reviews work of</t>
  </si>
  <si>
    <t>Engine &amp; game rules</t>
  </si>
  <si>
    <t>Window, shaders, primitive meshes, game loop, state machine, Entity system, lanes, waves, economy (coins/buying/drops), win/lose/freeze, Restart. Bebop &amp; Rocksteady models and villain animations. Build, zip and submission.</t>
  </si>
  <si>
    <t>main.cpp, Game, Shader, Mesh, LaneManager, Entity, WaveManager, Economy, Config.h, VillainModels</t>
  </si>
  <si>
    <t>Combat &amp; character logic</t>
  </si>
  <si>
    <t>Collision, movement, spawning positions, attacks and projectiles, jump/duck/dodge, Donatello protection, damage/tint/death, every turtle's and villain's behavior, effects, balancing and stress/regression testing.</t>
  </si>
  <si>
    <t>Collision, Turtle, Villain, Projectile, Effects</t>
  </si>
  <si>
    <t>UI, input, menus &amp; audio</t>
  </si>
  <si>
    <t>Text rendering, input, lane hover/select, cards with lock/unlock and placement, pizza counter, health bars, HUD, all three menus, half the environment, the sound bonus, recording and editing the video.</t>
  </si>
  <si>
    <t>Text, Input, UI, HealthBar, Menu, Audio, Environment (part)</t>
  </si>
  <si>
    <t>Art, models &amp; cutscene</t>
  </si>
  <si>
    <t>Transform hierarchy, Leonardo/Raphael/Donatello/Foot Soldier models and animations, the Lair, sewer background and part of the environment, pizza model, the whole cutscene, theme reviews, video script and title cards, README.</t>
  </si>
  <si>
    <t>Hierarchy, TurtleModels, FootModel, LairModel, Background, Cutscene, Timeline</t>
  </si>
  <si>
    <t>Workload by sprint (effort points, calculated from the requirements sheet)</t>
  </si>
  <si>
    <t>Sprint 1</t>
  </si>
  <si>
    <t>Sprint 2</t>
  </si>
  <si>
    <t>Sprint 3</t>
  </si>
  <si>
    <t>Sprint 4</t>
  </si>
  <si>
    <t>Total pts</t>
  </si>
  <si>
    <t># reqs</t>
  </si>
  <si>
    <t>Share</t>
  </si>
  <si>
    <t>Done pts</t>
  </si>
  <si>
    <t>% done</t>
  </si>
  <si>
    <t>1 pt ≈ 1–2 focused hours. Rebalance by changing Owner or Sprint on the requirements sheet; this table recalculates.</t>
  </si>
  <si>
    <t>Sprint calendar (deadline: Mon 2 Nov 2026, 11:59 PM)</t>
  </si>
  <si>
    <t>Dates</t>
  </si>
  <si>
    <t>Goal</t>
  </si>
  <si>
    <t>Exit criteria (demo to the team at the end)</t>
  </si>
  <si>
    <t>Sat 17 – Wed 21 Oct</t>
  </si>
  <si>
    <t>Foundations: OpenGL setup, shapes, hierarchy, Entity interface, lanes, input, lane hover/select, text, main menu, first turtle models, movement and jumping on placeholder boxes.</t>
  </si>
  <si>
    <t>Main Menu → Start shows the lane grid; clicking selects lanes; boxes spawn, walk, jump and duck; Leonardo model renders.</t>
  </si>
  <si>
    <t>Thu 22 – Mon 26 Oct</t>
  </si>
  <si>
    <t>Core game: combat, projectiles, every character's behavior and most models, Donatello protection, cards and coins, waves, collectibles, win/lose, pause and win/lose menus, cutscene first pass.</t>
  </si>
  <si>
    <t>A full run from wave 1 to a win and to a loss is playable with real models.</t>
  </si>
  <si>
    <t>Tue 27 – Thu 29 Oct</t>
  </si>
  <si>
    <t>Polish and bonus: environment elements, effects, damage tint, Rocksteady model and villain animations, cutscene final, sound bonus, theme and distinctness reviews, balancing. Feature freeze Thu night.</t>
  </si>
  <si>
    <t>Every Must row is Done; reviewers start marking Tested.</t>
  </si>
  <si>
    <t>Fri 30 Oct – Mon 2 Nov</t>
  </si>
  <si>
    <t>Test and ship: stress + regression testing, clean-machine build, video recording and editing, zip, Drive, form. Internal deadline Sun 1 Nov, 9 PM.</t>
  </si>
  <si>
    <t>Form submitted, video link submitted, confirmation received.</t>
  </si>
  <si>
    <t>Working rules</t>
  </si>
  <si>
    <t>1. Day 1 (Sat 17 / Sun 18 Oct): agree the Entity interface, Config.h names and the shape/hierarchy API together. Everyone builds on them.</t>
  </si>
  <si>
    <t>2. Build gameplay with placeholder boxes first; D swaps in real models through one draw function per character, so logic never waits for art.</t>
  </si>
  <si>
    <t>3. One Git branch per member, merge to main at least daily, and main must always build.</t>
  </si>
  <si>
    <t>4. Pairs review each other (A↔C, B↔D). Only the reviewer moves a row from Done to Tested.</t>
  </si>
  <si>
    <t>5. Unanswered TA questions: build the default from the 'Open Questions' tab and keep the value in Config.h so it's a one-line change.</t>
  </si>
  <si>
    <t>Shell Shock: Defend the Lair (working title)</t>
  </si>
  <si>
    <t>Story: Shredder wants the last canister of mutagen, hidden in the turtles' sewer Lair, to build a mutant army. Rocksteady and Bebop lead the Foot Clan through the tunnels; the turtles must hold every lane. If any villain reaches the Lair, the mutagen is lost.</t>
  </si>
  <si>
    <t>Spec role</t>
  </si>
  <si>
    <t>Character</t>
  </si>
  <si>
    <t>Weapon / attack</t>
  </si>
  <si>
    <t>Health</t>
  </si>
  <si>
    <t>Damage</t>
  </si>
  <si>
    <t>Speed</t>
  </si>
  <si>
    <t>Cost / unlock (default)</t>
  </si>
  <si>
    <t>Visual design (must differ by shape, not color)</t>
  </si>
  <si>
    <t>Model parts (minimum)</t>
  </si>
  <si>
    <t>Animations</t>
  </si>
  <si>
    <t>Player: Melee</t>
  </si>
  <si>
    <t>Leonardo</t>
  </si>
  <si>
    <t>Two katanas, close-range slash</t>
  </si>
  <si>
    <t>5 lives</t>
  </si>
  <si>
    <t>1</t>
  </si>
  <si>
    <t>Normal</t>
  </si>
  <si>
    <t>10 (unlocked at start)</t>
  </si>
  <si>
    <t>Slim balanced stance, blue mask, katanas crossed on the back and drawn when attacking.</t>
  </si>
  <si>
    <t>Shell + plate pattern, plastron, head, mask + tails, eyes, arms, hands, legs, pads, belt, 2 katanas (blade, guard, hilt)</t>
  </si>
  <si>
    <t>Idle bob, walk cycle, katana swing (arm joint), jump, duck, hit, defeat</t>
  </si>
  <si>
    <t>Player: Ranged</t>
  </si>
  <si>
    <t>Raphael</t>
  </si>
  <si>
    <t>Throws spinning sai (projectile)</t>
  </si>
  <si>
    <t>60 = 2 × 30 (see OQ 1)</t>
  </si>
  <si>
    <t>Bulkier, hunched, red mask, sai on belt, wind-up throwing pose.</t>
  </si>
  <si>
    <t>Same turtle base + red mask, sai holster, sai in hand, wrist wraps, scowl brow</t>
  </si>
  <si>
    <t>Idle, walk, throw (wind-up/release), sai spin in flight, impact flash</t>
  </si>
  <si>
    <t>Player: Defense</t>
  </si>
  <si>
    <t>Donatello</t>
  </si>
  <si>
    <t>None: blocks with a manhole-cover shield + bo staff</t>
  </si>
  <si>
    <t>7 hits</t>
  </si>
  <si>
    <t>0</t>
  </si>
  <si>
    <t>Stationary</t>
  </si>
  <si>
    <t>90 = 3 × 30 (see OQ 1)</t>
  </si>
  <si>
    <t>Wide planted stance, purple mask, tall bo staff, round manhole-cover shield, goggles on head.</t>
  </si>
  <si>
    <t>Turtle base + shield (rim, bolts), bo staff with wraps, goggles, knee pads</t>
  </si>
  <si>
    <t>Idle guard sway, block recoil, defeat</t>
  </si>
  <si>
    <t>Enemy: Easy (upper ranged)</t>
  </si>
  <si>
    <t>Foot Soldier</t>
  </si>
  <si>
    <t>Throws shuriken HIGH → turtles duck</t>
  </si>
  <si>
    <t>Drops 15 pizza</t>
  </si>
  <si>
    <t>Lean human ninja: hood, eye-slit mask, Foot emblem, armor plates, dark purple/black, angular shapes.</t>
  </si>
  <si>
    <t>Hood, mask, eye slit, torso armor, emblem, arms, legs, belt, pouch, shuriken</t>
  </si>
  <si>
    <t>Walk, throw (overhead arm), hit, defeat</t>
  </si>
  <si>
    <t>Enemy: Medium (lower ranged)</t>
  </si>
  <si>
    <t>Bebop</t>
  </si>
  <si>
    <t>Blaster fires LOW shots → turtles jump</t>
  </si>
  <si>
    <t>Round bulky warthog: mohawk, tusks, sunglasses, vest, arm blaster.</t>
  </si>
  <si>
    <t>Head, snout, tusks, mohawk, glasses, belly, vest, arms, blaster, legs, boots</t>
  </si>
  <si>
    <t>Walk, blaster recoil, hit, defeat</t>
  </si>
  <si>
    <t>Enemy: Hard (melee)</t>
  </si>
  <si>
    <t>Rocksteady</t>
  </si>
  <si>
    <t>Charging punch / horn butt</t>
  </si>
  <si>
    <t>7 lives</t>
  </si>
  <si>
    <t>2</t>
  </si>
  <si>
    <t>Fast (≈1.8×)</t>
  </si>
  <si>
    <t>Largest villain: rhino head with horn, helmet, heavy shoulder armor, big fists.</t>
  </si>
  <si>
    <t>Head, horn, helmet, ears, armor plates, arms, fists, belt, legs, dust puffs</t>
  </si>
  <si>
    <t>Run, punch, hit, defeat</t>
  </si>
  <si>
    <t>Cutscene only (optional)</t>
  </si>
  <si>
    <t>Michelangelo, Splinter</t>
  </si>
  <si>
    <t>Mikey: orange mask, nunchaku. Splinter: robe, walking staff. Shredder is only mentioned in dialogue, so he needs no model.</t>
  </si>
  <si>
    <t>Reuse the turtle base for Mikey</t>
  </si>
  <si>
    <t>Gestures, talking bob</t>
  </si>
  <si>
    <t>Environment elements (spec needs ≥ 5)</t>
  </si>
  <si>
    <t>#</t>
  </si>
  <si>
    <t>Element</t>
  </si>
  <si>
    <t>Details</t>
  </si>
  <si>
    <t>Where</t>
  </si>
  <si>
    <t>Sewer pipes</t>
  </si>
  <si>
    <t>Joints, valves, rust bands, animated drips</t>
  </si>
  <si>
    <t>Top wall, behind lanes</t>
  </si>
  <si>
    <t>Mutagen barrels</t>
  </si>
  <si>
    <t>Bands, hazard symbol, pulsing green ooze</t>
  </si>
  <si>
    <t>Near lane ends, between lanes</t>
  </si>
  <si>
    <t>Manhole covers &amp; drain grates</t>
  </si>
  <si>
    <t>Bolted rings, slots</t>
  </si>
  <si>
    <t>Flat on the walkways</t>
  </si>
  <si>
    <t>Hanging work lamps</t>
  </si>
  <si>
    <t>Cage, bulb, light cone, flicker</t>
  </si>
  <si>
    <t>Ceiling</t>
  </si>
  <si>
    <t>Brick wall with graffiti + lair sign</t>
  </si>
  <si>
    <t>Brick pattern, original tags</t>
  </si>
  <si>
    <t>Back wall</t>
  </si>
  <si>
    <t>Pizza boxes &amp; crates</t>
  </si>
  <si>
    <t>Stacked boxes, crate planks</t>
  </si>
  <si>
    <t>Next to the Lair</t>
  </si>
  <si>
    <t>Sewer-water stream</t>
  </si>
  <si>
    <t>Scrolling ripple lines</t>
  </si>
  <si>
    <t>Bottom channel</t>
  </si>
  <si>
    <t>The Lair (home base)</t>
  </si>
  <si>
    <t>Vault door with shell emblem, pipes, lights; spans all lanes</t>
  </si>
  <si>
    <t>Left edge</t>
  </si>
  <si>
    <t>Cutscene storyboard (target 16 s; must stay 10–20 s)</t>
  </si>
  <si>
    <t>Time</t>
  </si>
  <si>
    <t>Shot</t>
  </si>
  <si>
    <t>On screen (animation)</t>
  </si>
  <si>
    <t>Dialogue / subtitle</t>
  </si>
  <si>
    <t>Spec point covered</t>
  </si>
  <si>
    <t>0–3 s</t>
  </si>
  <si>
    <t>Establishing pan</t>
  </si>
  <si>
    <t>Camera glides through the sewer tunnel (pipes, lamps, water) to the Lair door; the mutagen canister glows inside.</t>
  </si>
  <si>
    <t>Setting + what is defended</t>
  </si>
  <si>
    <t>3–6 s</t>
  </si>
  <si>
    <t>Inside the Lair</t>
  </si>
  <si>
    <t>Leonardo and Raphael stand guard by the canister; Donatello reinforces the door. (Optional: Michelangelo grabs pizza, Splinter watches.)</t>
  </si>
  <si>
    <t>Leonardo: "Last canister of mutagen. In the wrong hands, it makes monsters."</t>
  </si>
  <si>
    <t>Why it matters</t>
  </si>
  <si>
    <t>6–9 s</t>
  </si>
  <si>
    <t>Invasion</t>
  </si>
  <si>
    <t>Rumble, dust falls; a manhole bursts open on the right; Foot Soldiers drop in; Rocksteady and Bebop stomp out of the dust.</t>
  </si>
  <si>
    <t>Rocksteady: "Shredder wants that mutagen. Smash everything!"</t>
  </si>
  <si>
    <t>Enemies introduced, conflict</t>
  </si>
  <si>
    <t>9–12 s</t>
  </si>
  <si>
    <t>Standoff</t>
  </si>
  <si>
    <t>Leonardo draws his katanas; Donatello slams his manhole shield down; Bebop raises his blaster.</t>
  </si>
  <si>
    <t>Leonardo: "You'll have to get through us first." / Bebop: "Easy!"</t>
  </si>
  <si>
    <t>Players + enemies interacting</t>
  </si>
  <si>
    <t>12–15 s</t>
  </si>
  <si>
    <t>Clash</t>
  </si>
  <si>
    <t>Raphael throws a sai that knocks a Foot Soldier's shuriken out of the air; both sides fall back into their lanes.</t>
  </si>
  <si>
    <t>Raphael: "Next one's not a warning."</t>
  </si>
  <si>
    <t>Animated interaction</t>
  </si>
  <si>
    <t>15–16 s</t>
  </si>
  <si>
    <t>Transition</t>
  </si>
  <si>
    <t>Camera pulls back to the playfield framing; iris wipe into gameplay.</t>
  </si>
  <si>
    <t>Leonardo: "Turtles, defend the Lair!"</t>
  </si>
  <si>
    <t>Logical lead-in to gameplay</t>
  </si>
  <si>
    <t>Dialogue lines are original placeholders; rewrite them freely, but keep them short and keep the story readable from the animation alone.</t>
  </si>
  <si>
    <t>Palette (keep turtles and villains in clearly separate families)</t>
  </si>
  <si>
    <t>Use</t>
  </si>
  <si>
    <t>Hex</t>
  </si>
  <si>
    <t>Swatch</t>
  </si>
  <si>
    <t>Turtle skin</t>
  </si>
  <si>
    <t>#4C9A2A</t>
  </si>
  <si>
    <t>Shell</t>
  </si>
  <si>
    <t>#7A5C2E</t>
  </si>
  <si>
    <t>Plastron</t>
  </si>
  <si>
    <t>#D8C27A</t>
  </si>
  <si>
    <t>Leonardo mask</t>
  </si>
  <si>
    <t>#1F5FBF</t>
  </si>
  <si>
    <t>Raphael mask</t>
  </si>
  <si>
    <t>#C0262D</t>
  </si>
  <si>
    <t>Donatello mask</t>
  </si>
  <si>
    <t>#7B3FA0</t>
  </si>
  <si>
    <t>Foot Clan</t>
  </si>
  <si>
    <t>#2B1F33</t>
  </si>
  <si>
    <t>Bebop / Rocksteady</t>
  </si>
  <si>
    <t>#6E6E6E</t>
  </si>
  <si>
    <t>Mutagen glow</t>
  </si>
  <si>
    <t>#7CFC00</t>
  </si>
  <si>
    <t>Sewer wall</t>
  </si>
  <si>
    <t>#3A4A44</t>
  </si>
  <si>
    <t>Pizza</t>
  </si>
  <si>
    <t>#F2B33D</t>
  </si>
  <si>
    <t>Open questions for the TA</t>
  </si>
  <si>
    <t>Ambiguities in the spec. Build the default now (as a Config.h value where possible) and update when the TA answers.</t>
  </si>
  <si>
    <t>Topic</t>
  </si>
  <si>
    <t>Question for the TA</t>
  </si>
  <si>
    <t>Why it's unclear</t>
  </si>
  <si>
    <t>Our default until answered</t>
  </si>
  <si>
    <t>Affects reqs</t>
  </si>
  <si>
    <t>TA answer (fill in)</t>
  </si>
  <si>
    <t>Unlock costs</t>
  </si>
  <si>
    <t>What exact pizza values should unlock Raphael (Ranged) and Donatello (Defense)?</t>
  </si>
  <si>
    <t>Start = enough for 3 Melee, and only Melee starts unlocked. If Ranged = 2 × Melee's price (2 × 10 = 20) and Defense = 3 × 10 = 30, both are affordable with the 30 starting coins, so they'd start unlocked. That contradicts 'all locked except Melee'.</t>
  </si>
  <si>
    <t>Base = the 30 starting coins (pizza) that unlock Leonardo: Leonardo 10 per placement, Raphael 60, Donatello 90; drop 15 per villain.</t>
  </si>
  <si>
    <t>59, 74, 78, 64</t>
  </si>
  <si>
    <t>Open</t>
  </si>
  <si>
    <t>Placement with several lanes selected</t>
  </si>
  <si>
    <t>If several lanes are selected when a card is clicked, where does the turtle go?</t>
  </si>
  <si>
    <t>Placement needs a selected lane, but jump/duck lets you select several lanes at once.</t>
  </si>
  <si>
    <t>Place one turtle in the most recently selected lane.</t>
  </si>
  <si>
    <t>66</t>
  </si>
  <si>
    <t>Right edge</t>
  </si>
  <si>
    <t>What happens when a turtle reaches the right edge with no enemy?</t>
  </si>
  <si>
    <t>The spec says turtles move 'until they reach the right' but not what follows.</t>
  </si>
  <si>
    <t>Walks off-screen and is removed.</t>
  </si>
  <si>
    <t>46</t>
  </si>
  <si>
    <t>Dodging melee</t>
  </si>
  <si>
    <t>Can jump/duck dodge Rocksteady's melee attack?</t>
  </si>
  <si>
    <t>Only HIGH (duck) and LOW (jump) ranged attacks are defined.</t>
  </si>
  <si>
    <t>No: melee hits always land.</t>
  </si>
  <si>
    <t>90, 58</t>
  </si>
  <si>
    <t>Duck input</t>
  </si>
  <si>
    <t>Is duck held while S/Down is pressed, or a fixed-time action like jump?</t>
  </si>
  <si>
    <t>The spec says 'while pressing S'.</t>
  </si>
  <si>
    <t>Held, with a minimum duration.</t>
  </si>
  <si>
    <t>57</t>
  </si>
  <si>
    <t>Defense durability</t>
  </si>
  <si>
    <t>Does Rocksteady's 2-damage hit remove 2 of Donatello's 7 'hits'?</t>
  </si>
  <si>
    <t>Defense durability is given in hits, other units in lives.</t>
  </si>
  <si>
    <t>Treat all as HP: Rocksteady removes 2.</t>
  </si>
  <si>
    <t>78</t>
  </si>
  <si>
    <t>Ranged villains meeting turtles</t>
  </si>
  <si>
    <t>Do Foot Soldiers and Bebop stop when they collide with a turtle?</t>
  </si>
  <si>
    <t>They attack from a distance, but the general rule says both stop on contact.</t>
  </si>
  <si>
    <t>Yes, the contact rule applies to every villain.</t>
  </si>
  <si>
    <t>48</t>
  </si>
  <si>
    <t>Villains overlapping</t>
  </si>
  <si>
    <t>Can villains in the same lane pass through each other (e.g., a fast Rocksteady behind a fighting Foot Soldier)?</t>
  </si>
  <si>
    <t>The spec lets players overlap but says nothing about enemies.</t>
  </si>
  <si>
    <t>Yes, villains overlap like turtles do.</t>
  </si>
  <si>
    <t>51</t>
  </si>
  <si>
    <t>Restart</t>
  </si>
  <si>
    <t>Should Restart replay the cutscene?</t>
  </si>
  <si>
    <t>The spec only says Start triggers the cutscene.</t>
  </si>
  <si>
    <t>No: Restart jumps straight into gameplay; Main Menu → Start replays it.</t>
  </si>
  <si>
    <t>25</t>
  </si>
  <si>
    <t>Cutscene skip</t>
  </si>
  <si>
    <t>Is a skip key allowed?</t>
  </si>
  <si>
    <t>Not mentioned.</t>
  </si>
  <si>
    <t>Optional skip on Space/Enter, only if allowed.</t>
  </si>
  <si>
    <t>37</t>
  </si>
  <si>
    <t>Zip contents</t>
  </si>
  <si>
    <t>May the zip include shaders, fonts, sounds and third-party libraries?</t>
  </si>
  <si>
    <t>'Only .h, .cpp, … files' but the game needs these to run.</t>
  </si>
  <si>
    <t>Include them; exclude build outputs.</t>
  </si>
  <si>
    <t>140</t>
  </si>
  <si>
    <t>Build environment</t>
  </si>
  <si>
    <t>Which OS/IDE do the TAs compile on (e.g., Windows + Visual Studio)?</t>
  </si>
  <si>
    <t>Compile errors = zero, so the target environment matters.</t>
  </si>
  <si>
    <t>Windows + Visual Studio via CMake.</t>
  </si>
  <si>
    <t>2, 139</t>
  </si>
  <si>
    <t>Collecting pizza</t>
  </si>
  <si>
    <t>Is pizza collected only by a turtle colliding with it, or also by the mouse?</t>
  </si>
  <si>
    <t>'Collected when the player collides with them' could mean the turtle or the user.</t>
  </si>
  <si>
    <t>A turtle colliding with it.</t>
  </si>
  <si>
    <t>106</t>
  </si>
  <si>
    <t>Textures</t>
  </si>
  <si>
    <t>Are textures/sprites allowed, or must models be geometry?</t>
  </si>
  <si>
    <t>The spec demands modeling detail; sprites might not count.</t>
  </si>
  <si>
    <t>All characters and the Lair are geometry; no character sprites.</t>
  </si>
  <si>
    <t>69, 111</t>
  </si>
  <si>
    <t>Franchise theme</t>
  </si>
  <si>
    <t>Is a TMNT-based theme OK, given the video may be published online?</t>
  </si>
  <si>
    <t>Existing characters, not an original theme.</t>
  </si>
  <si>
    <t>Use it with original models, original dialogue and royalty-free audio; no official logo or theme song.</t>
  </si>
  <si>
    <t>125, 136</t>
  </si>
  <si>
    <t>Spec coverage</t>
  </si>
  <si>
    <t>Every section of the project description and how many requirements trace to it. All numbers are formulas over the requirements sheet.</t>
  </si>
  <si>
    <t>Section</t>
  </si>
  <si>
    <t>What it requires</t>
  </si>
  <si>
    <t>Done or Tested</t>
  </si>
  <si>
    <t>Overview</t>
  </si>
  <si>
    <t>2D side-view tower defense, own creative theme, modern OpenGL 3.3+, team of 3–4.</t>
  </si>
  <si>
    <t>Fully animated 10–20 s intro with ≥1 player and ≥1 enemy interacting, dialogue, what's defended and why; not text only.</t>
  </si>
  <si>
    <t>Playfield</t>
  </si>
  <si>
    <t>≥3 lanes, home base left, enemies enter right in random lanes, lane lock, auto-advance, auto-attack, stop-and-fight on contact, overlapping attacks.</t>
  </si>
  <si>
    <t>Player logic</t>
  </si>
  <si>
    <t>Melee/Ranged/Defense, purchase with coins, lane hover/select (multi), W/S jump/duck, dodge rules, tint/scale damage, removal, overlap, Defense protection, damage values.</t>
  </si>
  <si>
    <t>Enemy logic</t>
  </si>
  <si>
    <t>Easy/Medium/Hard behaviors and lives, damage values, 3 waves (3/5/10, type mix), wave start/end rules, drops and collection, distinct designs, tint, health.</t>
  </si>
  <si>
    <t>Winning &amp; losing</t>
  </si>
  <si>
    <t>Win after all waves are cleared; lose when any enemy reaches the base; everything stops.</t>
  </si>
  <si>
    <t>Visuals</t>
  </si>
  <si>
    <t>Theme logically and realistically consistent across cutscene, story, environment, characters, weapons.</t>
  </si>
  <si>
    <t>Enemies &amp; players</t>
  </si>
  <si>
    <t>Players vs enemies and types within each group differ beyond color; health always visible; detailed models.</t>
  </si>
  <si>
    <t>Game scene &amp; UI</t>
  </si>
  <si>
    <t>≥5 integrated environment elements; coin counter at top; player cards with grayscale lock, hover rules, auto unlock/relock.</t>
  </si>
  <si>
    <t>Game menus</t>
  </si>
  <si>
    <t>Main Menu (Start, Exit, sound bonus), Pause Menu on Esc (Continue, Restart, Main Menu), Win/Lose Menu (Restart, Main Menu).</t>
  </si>
  <si>
    <t>Bonus: sound</t>
  </si>
  <si>
    <t>Background music, ≥4 interaction SFX, Sound Settings menu from Main Menu with volume up/down/mute.</t>
  </si>
  <si>
    <t>2–5 min screen recording with voiceover in the required title sequence.</t>
  </si>
  <si>
    <t>No compile errors, source-only zip with the naming convention, Drive access, form, deadline.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</si>
</sst>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theme="1"/>
      <name val="Arial"/>
    </font>
    <font>
      <sz val="10.0"/>
      <color rgb="FF181E2A"/>
      <name val="Arial"/>
    </font>
    <font>
      <b/>
      <sz val="10.0"/>
      <color theme="1"/>
      <name val="Arial"/>
    </font>
    <font>
      <i/>
      <sz val="10.0"/>
      <color rgb="FF595959"/>
      <name val="Arial"/>
    </font>
    <font>
      <i/>
      <sz val="9.0"/>
      <color rgb="FF595959"/>
      <name val="Arial"/>
    </font>
    <font/>
  </fonts>
  <fills count="15">
    <fill>
      <patternFill patternType="none"/>
    </fill>
    <fill>
      <patternFill patternType="lightGray"/>
    </fill>
    <fill>
      <patternFill patternType="solid">
        <fgColor rgb="FFD9E2F3"/>
        <bgColor rgb="FFD9E2F3"/>
      </patternFill>
    </fill>
    <fill>
      <patternFill patternType="solid">
        <fgColor rgb="FFFFF2CC"/>
        <bgColor rgb="FFFFF2CC"/>
      </patternFill>
    </fill>
    <fill>
      <patternFill patternType="solid">
        <fgColor rgb="FF4C9A2A"/>
        <bgColor rgb="FF4C9A2A"/>
      </patternFill>
    </fill>
    <fill>
      <patternFill patternType="solid">
        <fgColor rgb="FF7A5C2E"/>
        <bgColor rgb="FF7A5C2E"/>
      </patternFill>
    </fill>
    <fill>
      <patternFill patternType="solid">
        <fgColor rgb="FFD8C27A"/>
        <bgColor rgb="FFD8C27A"/>
      </patternFill>
    </fill>
    <fill>
      <patternFill patternType="solid">
        <fgColor rgb="FF1F5FBF"/>
        <bgColor rgb="FF1F5FBF"/>
      </patternFill>
    </fill>
    <fill>
      <patternFill patternType="solid">
        <fgColor rgb="FFC0262D"/>
        <bgColor rgb="FFC0262D"/>
      </patternFill>
    </fill>
    <fill>
      <patternFill patternType="solid">
        <fgColor rgb="FF7B3FA0"/>
        <bgColor rgb="FF7B3FA0"/>
      </patternFill>
    </fill>
    <fill>
      <patternFill patternType="solid">
        <fgColor rgb="FF2B1F33"/>
        <bgColor rgb="FF2B1F33"/>
      </patternFill>
    </fill>
    <fill>
      <patternFill patternType="solid">
        <fgColor rgb="FF6E6E6E"/>
        <bgColor rgb="FF6E6E6E"/>
      </patternFill>
    </fill>
    <fill>
      <patternFill patternType="solid">
        <fgColor rgb="FF7CFC00"/>
        <bgColor rgb="FF7CFC00"/>
      </patternFill>
    </fill>
    <fill>
      <patternFill patternType="solid">
        <fgColor rgb="FF3A4A44"/>
        <bgColor rgb="FF3A4A44"/>
      </patternFill>
    </fill>
    <fill>
      <patternFill patternType="solid">
        <fgColor rgb="FFF2B33D"/>
        <bgColor rgb="FFF2B33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1"/>
    </xf>
    <xf borderId="0" fillId="0" fontId="3" numFmtId="0" xfId="0" applyAlignment="1" applyFont="1">
      <alignment shrinkToFit="0" vertical="top" wrapText="1"/>
    </xf>
    <xf borderId="1" fillId="2" fontId="3"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0" fillId="0" fontId="3" numFmtId="0" xfId="0" applyAlignment="1" applyFont="1">
      <alignment horizontal="center" shrinkToFit="0" vertical="center" wrapText="1"/>
    </xf>
    <xf borderId="0" fillId="0" fontId="4" numFmtId="0" xfId="0" applyAlignment="1" applyFont="1">
      <alignment shrinkToFit="0" vertical="bottom" wrapText="0"/>
    </xf>
    <xf borderId="1" fillId="3" fontId="2" numFmtId="0" xfId="0" applyAlignment="1" applyBorder="1" applyFill="1" applyFont="1">
      <alignment shrinkToFit="0" vertical="center" wrapText="1"/>
    </xf>
    <xf borderId="0" fillId="0" fontId="3" numFmtId="0" xfId="0" applyAlignment="1" applyFont="1">
      <alignment shrinkToFit="0" vertical="bottom" wrapText="0"/>
    </xf>
    <xf borderId="1" fillId="0" fontId="2" numFmtId="9"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1" fillId="0" fontId="3" numFmtId="9" xfId="0" applyAlignment="1" applyBorder="1" applyFont="1" applyNumberFormat="1">
      <alignment horizontal="center" shrinkToFit="0" vertical="center" wrapText="1"/>
    </xf>
    <xf borderId="0" fillId="0" fontId="5" numFmtId="0" xfId="0" applyAlignment="1" applyFont="1">
      <alignment shrinkToFit="0" vertical="bottom" wrapText="0"/>
    </xf>
    <xf borderId="2" fillId="2" fontId="3" numFmtId="0" xfId="0" applyAlignment="1" applyBorder="1" applyFill="1" applyFont="1">
      <alignment horizontal="center" shrinkToFit="0" vertical="center" wrapText="1"/>
    </xf>
    <xf borderId="3" fillId="0" fontId="6" numFmtId="0" xfId="0" applyBorder="1" applyFont="1"/>
    <xf borderId="2" fillId="0" fontId="2" numFmtId="0" xfId="0" applyAlignment="1" applyBorder="1" applyFont="1">
      <alignment shrinkToFit="0" vertical="center" wrapText="1"/>
    </xf>
    <xf borderId="0" fillId="0" fontId="2" numFmtId="0" xfId="0" applyAlignment="1" applyFont="1">
      <alignment shrinkToFit="0" vertical="center" wrapText="1"/>
    </xf>
    <xf borderId="0" fillId="0" fontId="4" numFmtId="0" xfId="0" applyAlignment="1" applyFont="1">
      <alignment shrinkToFit="0" vertical="center" wrapText="1"/>
    </xf>
    <xf borderId="4" fillId="0" fontId="6" numFmtId="0" xfId="0" applyBorder="1" applyFont="1"/>
    <xf borderId="1" fillId="4" fontId="2" numFmtId="0" xfId="0" applyAlignment="1" applyBorder="1" applyFill="1" applyFont="1">
      <alignment shrinkToFit="0" vertical="center" wrapText="1"/>
    </xf>
    <xf borderId="1" fillId="5" fontId="2" numFmtId="0" xfId="0" applyAlignment="1" applyBorder="1" applyFill="1" applyFont="1">
      <alignment shrinkToFit="0" vertical="center" wrapText="1"/>
    </xf>
    <xf borderId="1" fillId="6" fontId="2" numFmtId="0" xfId="0" applyAlignment="1" applyBorder="1" applyFill="1" applyFont="1">
      <alignment shrinkToFit="0" vertical="center" wrapText="1"/>
    </xf>
    <xf borderId="1" fillId="7" fontId="2" numFmtId="0" xfId="0" applyAlignment="1" applyBorder="1" applyFill="1" applyFont="1">
      <alignment shrinkToFit="0" vertical="center" wrapText="1"/>
    </xf>
    <xf borderId="1" fillId="8" fontId="2" numFmtId="0" xfId="0" applyAlignment="1" applyBorder="1" applyFill="1" applyFont="1">
      <alignment shrinkToFit="0" vertical="center" wrapText="1"/>
    </xf>
    <xf borderId="1" fillId="9" fontId="2" numFmtId="0" xfId="0" applyAlignment="1" applyBorder="1" applyFill="1" applyFont="1">
      <alignment shrinkToFit="0" vertical="center" wrapText="1"/>
    </xf>
    <xf borderId="1" fillId="10" fontId="2" numFmtId="0" xfId="0" applyAlignment="1" applyBorder="1" applyFill="1" applyFont="1">
      <alignment shrinkToFit="0" vertical="center" wrapText="1"/>
    </xf>
    <xf borderId="1" fillId="11" fontId="2" numFmtId="0" xfId="0" applyAlignment="1" applyBorder="1" applyFill="1" applyFont="1">
      <alignment shrinkToFit="0" vertical="center" wrapText="1"/>
    </xf>
    <xf borderId="1" fillId="12" fontId="2" numFmtId="0" xfId="0" applyAlignment="1" applyBorder="1" applyFill="1" applyFont="1">
      <alignment shrinkToFit="0" vertical="center" wrapText="1"/>
    </xf>
    <xf borderId="1" fillId="13" fontId="2" numFmtId="0" xfId="0" applyAlignment="1" applyBorder="1" applyFill="1" applyFont="1">
      <alignment shrinkToFit="0" vertical="center" wrapText="1"/>
    </xf>
    <xf borderId="1" fillId="14" fontId="2" numFmtId="0" xfId="0" applyAlignment="1" applyBorder="1" applyFill="1" applyFont="1">
      <alignment shrinkToFit="0" vertical="center" wrapText="1"/>
    </xf>
    <xf borderId="1" fillId="0" fontId="3" numFmtId="0" xfId="0" applyAlignment="1" applyBorder="1" applyFont="1">
      <alignment shrinkToFit="0" vertical="center" wrapText="1"/>
    </xf>
  </cellXfs>
  <cellStyles count="1">
    <cellStyle xfId="0" name="Normal" builtinId="0"/>
  </cellStyles>
  <dxfs count="6">
    <dxf>
      <font/>
      <fill>
        <patternFill patternType="solid">
          <fgColor rgb="FFFFEB9C"/>
          <bgColor rgb="FFFFEB9C"/>
        </patternFill>
      </fill>
      <border/>
    </dxf>
    <dxf>
      <font/>
      <fill>
        <patternFill patternType="solid">
          <fgColor rgb="FFC6EFCE"/>
          <bgColor rgb="FFC6EFCE"/>
        </patternFill>
      </fill>
      <border/>
    </dxf>
    <dxf>
      <font/>
      <fill>
        <patternFill patternType="solid">
          <fgColor rgb="FF8FD19E"/>
          <bgColor rgb="FF8FD19E"/>
        </patternFill>
      </fill>
      <border/>
    </dxf>
    <dxf>
      <font/>
      <fill>
        <patternFill patternType="solid">
          <fgColor rgb="FFF4B6B6"/>
          <bgColor rgb="FFF4B6B6"/>
        </patternFill>
      </fill>
      <border/>
    </dxf>
    <dxf>
      <font/>
      <fill>
        <patternFill patternType="solid">
          <fgColor rgb="FFE4DFEC"/>
          <bgColor rgb="FFE4DFEC"/>
        </patternFill>
      </fill>
      <border/>
    </dxf>
    <dxf>
      <font/>
      <fill>
        <patternFill patternType="solid">
          <fgColor rgb="FFEDEDED"/>
          <bgColor rgb="FFEDEDE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10.0"/>
    <col customWidth="1" min="2" max="26" width="8.63"/>
  </cols>
  <sheetData>
    <row r="1">
      <c r="A1" s="1" t="s">
        <v>0</v>
      </c>
    </row>
    <row r="3">
      <c r="A3" s="2" t="s">
        <v>1</v>
      </c>
    </row>
    <row r="4">
      <c r="A4" s="2"/>
    </row>
    <row r="5">
      <c r="A5" s="3" t="s">
        <v>2</v>
      </c>
    </row>
    <row r="6">
      <c r="A6" s="2" t="s">
        <v>3</v>
      </c>
    </row>
    <row r="7">
      <c r="A7" s="2" t="s">
        <v>4</v>
      </c>
    </row>
    <row r="8">
      <c r="A8" s="2" t="s">
        <v>5</v>
      </c>
    </row>
    <row r="9">
      <c r="A9" s="2" t="s">
        <v>6</v>
      </c>
    </row>
    <row r="10">
      <c r="A10" s="2" t="s">
        <v>7</v>
      </c>
    </row>
    <row r="11">
      <c r="A11" s="2" t="s">
        <v>8</v>
      </c>
    </row>
    <row r="12">
      <c r="A12" s="2"/>
    </row>
    <row r="13">
      <c r="A13" s="3" t="s">
        <v>9</v>
      </c>
    </row>
    <row r="14">
      <c r="A14" s="2" t="s">
        <v>10</v>
      </c>
    </row>
    <row r="15">
      <c r="A15" s="2" t="s">
        <v>11</v>
      </c>
    </row>
    <row r="16">
      <c r="A16" s="2" t="s">
        <v>12</v>
      </c>
    </row>
    <row r="17">
      <c r="A17" s="2"/>
    </row>
    <row r="18">
      <c r="A18" s="2" t="s">
        <v>13</v>
      </c>
    </row>
    <row r="19">
      <c r="A19" s="2"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8.0"/>
    <col customWidth="1" min="2" max="2" width="20.0"/>
    <col customWidth="1" min="3" max="3" width="11.0"/>
    <col customWidth="1" min="4" max="4" width="19.0"/>
    <col customWidth="1" min="5" max="5" width="46.0"/>
    <col customWidth="1" min="6" max="6" width="66.0"/>
    <col customWidth="1" min="7" max="7" width="8.0"/>
    <col customWidth="1" min="8" max="8" width="10.0"/>
    <col customWidth="1" min="9" max="10" width="8.0"/>
    <col customWidth="1" min="11" max="11" width="16.0"/>
    <col customWidth="1" min="12" max="12" width="9.0"/>
    <col customWidth="1" min="13" max="13" width="13.0"/>
    <col customWidth="1" min="14" max="14" width="10.0"/>
    <col customWidth="1" min="15" max="26" width="8.63"/>
  </cols>
  <sheetData>
    <row r="1" ht="33.75" customHeight="1">
      <c r="A1" s="4" t="s">
        <v>15</v>
      </c>
      <c r="B1" s="4" t="s">
        <v>16</v>
      </c>
      <c r="C1" s="4" t="s">
        <v>17</v>
      </c>
      <c r="D1" s="4" t="s">
        <v>18</v>
      </c>
      <c r="E1" s="4" t="s">
        <v>19</v>
      </c>
      <c r="F1" s="4" t="s">
        <v>20</v>
      </c>
      <c r="G1" s="4" t="s">
        <v>21</v>
      </c>
      <c r="H1" s="4" t="s">
        <v>22</v>
      </c>
      <c r="I1" s="4" t="s">
        <v>23</v>
      </c>
      <c r="J1" s="4" t="s">
        <v>24</v>
      </c>
      <c r="K1" s="4" t="s">
        <v>25</v>
      </c>
      <c r="L1" s="4" t="s">
        <v>26</v>
      </c>
      <c r="M1" s="4" t="s">
        <v>27</v>
      </c>
      <c r="N1" s="4" t="s">
        <v>28</v>
      </c>
    </row>
    <row r="2" ht="57.75" customHeight="1">
      <c r="A2" s="5">
        <v>1.0</v>
      </c>
      <c r="B2" s="6" t="s">
        <v>29</v>
      </c>
      <c r="C2" s="5" t="s">
        <v>30</v>
      </c>
      <c r="D2" s="6" t="s">
        <v>31</v>
      </c>
      <c r="E2" s="6" t="s">
        <v>32</v>
      </c>
      <c r="F2" s="6" t="s">
        <v>33</v>
      </c>
      <c r="G2" s="5" t="s">
        <v>34</v>
      </c>
      <c r="H2" s="5" t="s">
        <v>35</v>
      </c>
      <c r="I2" s="5">
        <v>1.0</v>
      </c>
      <c r="J2" s="5" t="s">
        <v>36</v>
      </c>
      <c r="K2" s="6" t="str">
        <f t="array" ref="K2">IFERROR(INDEX('Team Split'!$B$5:$B$8,MATCH(J2,'Team Split'!$A$5:$A$8,0))&amp;"","")</f>
        <v/>
      </c>
      <c r="L2" s="5">
        <v>2.0</v>
      </c>
      <c r="M2" s="5" t="s">
        <v>37</v>
      </c>
      <c r="N2" s="5" t="str">
        <f t="array" ref="N2">IFERROR(INDEX('Team Split'!$F$5:$F$8,MATCH(J2,'Team Split'!$A$5:$A$8,0))&amp;"","")</f>
        <v>C</v>
      </c>
    </row>
    <row r="3" ht="44.25" customHeight="1">
      <c r="A3" s="5">
        <v>2.0</v>
      </c>
      <c r="B3" s="6" t="s">
        <v>29</v>
      </c>
      <c r="C3" s="5" t="s">
        <v>30</v>
      </c>
      <c r="D3" s="6" t="s">
        <v>31</v>
      </c>
      <c r="E3" s="6" t="s">
        <v>38</v>
      </c>
      <c r="F3" s="6" t="s">
        <v>39</v>
      </c>
      <c r="G3" s="5" t="s">
        <v>40</v>
      </c>
      <c r="H3" s="5" t="s">
        <v>35</v>
      </c>
      <c r="I3" s="5">
        <v>1.0</v>
      </c>
      <c r="J3" s="5" t="s">
        <v>36</v>
      </c>
      <c r="K3" s="6" t="str">
        <f t="array" ref="K3">IFERROR(INDEX('Team Split'!$B$5:$B$8,MATCH(J3,'Team Split'!$A$5:$A$8,0))&amp;"","")</f>
        <v/>
      </c>
      <c r="L3" s="5">
        <v>3.0</v>
      </c>
      <c r="M3" s="5" t="s">
        <v>37</v>
      </c>
      <c r="N3" s="5" t="str">
        <f t="array" ref="N3">IFERROR(INDEX('Team Split'!$F$5:$F$8,MATCH(J3,'Team Split'!$A$5:$A$8,0))&amp;"","")</f>
        <v>C</v>
      </c>
    </row>
    <row r="4" ht="57.75" customHeight="1">
      <c r="A4" s="5">
        <v>3.0</v>
      </c>
      <c r="B4" s="6" t="s">
        <v>29</v>
      </c>
      <c r="C4" s="5">
        <v>1.0</v>
      </c>
      <c r="D4" s="6" t="s">
        <v>31</v>
      </c>
      <c r="E4" s="6" t="s">
        <v>41</v>
      </c>
      <c r="F4" s="6" t="s">
        <v>42</v>
      </c>
      <c r="G4" s="5" t="s">
        <v>34</v>
      </c>
      <c r="H4" s="5" t="s">
        <v>35</v>
      </c>
      <c r="I4" s="5">
        <v>1.0</v>
      </c>
      <c r="J4" s="5" t="s">
        <v>36</v>
      </c>
      <c r="K4" s="6" t="str">
        <f t="array" ref="K4">IFERROR(INDEX('Team Split'!$B$5:$B$8,MATCH(J4,'Team Split'!$A$5:$A$8,0))&amp;"","")</f>
        <v/>
      </c>
      <c r="L4" s="5">
        <v>2.0</v>
      </c>
      <c r="M4" s="5" t="s">
        <v>37</v>
      </c>
      <c r="N4" s="5" t="str">
        <f t="array" ref="N4">IFERROR(INDEX('Team Split'!$F$5:$F$8,MATCH(J4,'Team Split'!$A$5:$A$8,0))&amp;"","")</f>
        <v>C</v>
      </c>
    </row>
    <row r="5" ht="44.25" customHeight="1">
      <c r="A5" s="5">
        <v>4.0</v>
      </c>
      <c r="B5" s="6" t="s">
        <v>29</v>
      </c>
      <c r="C5" s="5">
        <v>3.0</v>
      </c>
      <c r="D5" s="6" t="s">
        <v>31</v>
      </c>
      <c r="E5" s="6" t="s">
        <v>43</v>
      </c>
      <c r="F5" s="6" t="s">
        <v>44</v>
      </c>
      <c r="G5" s="5" t="s">
        <v>34</v>
      </c>
      <c r="H5" s="5" t="s">
        <v>35</v>
      </c>
      <c r="I5" s="5">
        <v>1.0</v>
      </c>
      <c r="J5" s="5" t="s">
        <v>36</v>
      </c>
      <c r="K5" s="6" t="str">
        <f t="array" ref="K5">IFERROR(INDEX('Team Split'!$B$5:$B$8,MATCH(J5,'Team Split'!$A$5:$A$8,0))&amp;"","")</f>
        <v/>
      </c>
      <c r="L5" s="5">
        <v>2.0</v>
      </c>
      <c r="M5" s="5" t="s">
        <v>37</v>
      </c>
      <c r="N5" s="5" t="str">
        <f t="array" ref="N5">IFERROR(INDEX('Team Split'!$F$5:$F$8,MATCH(J5,'Team Split'!$A$5:$A$8,0))&amp;"","")</f>
        <v>C</v>
      </c>
    </row>
    <row r="6" ht="44.25" customHeight="1">
      <c r="A6" s="5">
        <v>5.0</v>
      </c>
      <c r="B6" s="6" t="s">
        <v>29</v>
      </c>
      <c r="C6" s="5">
        <v>1.0</v>
      </c>
      <c r="D6" s="6" t="s">
        <v>31</v>
      </c>
      <c r="E6" s="6" t="s">
        <v>45</v>
      </c>
      <c r="F6" s="6" t="s">
        <v>46</v>
      </c>
      <c r="G6" s="5" t="s">
        <v>34</v>
      </c>
      <c r="H6" s="5" t="s">
        <v>35</v>
      </c>
      <c r="I6" s="5">
        <v>1.0</v>
      </c>
      <c r="J6" s="5" t="s">
        <v>36</v>
      </c>
      <c r="K6" s="6" t="str">
        <f t="array" ref="K6">IFERROR(INDEX('Team Split'!$B$5:$B$8,MATCH(J6,'Team Split'!$A$5:$A$8,0))&amp;"","")</f>
        <v/>
      </c>
      <c r="L6" s="5">
        <v>1.0</v>
      </c>
      <c r="M6" s="5" t="s">
        <v>37</v>
      </c>
      <c r="N6" s="5" t="str">
        <f t="array" ref="N6">IFERROR(INDEX('Team Split'!$F$5:$F$8,MATCH(J6,'Team Split'!$A$5:$A$8,0))&amp;"","")</f>
        <v>C</v>
      </c>
    </row>
    <row r="7" ht="44.25" customHeight="1">
      <c r="A7" s="5">
        <v>6.0</v>
      </c>
      <c r="B7" s="6" t="s">
        <v>29</v>
      </c>
      <c r="C7" s="5">
        <v>3.0</v>
      </c>
      <c r="D7" s="6" t="s">
        <v>31</v>
      </c>
      <c r="E7" s="6" t="s">
        <v>47</v>
      </c>
      <c r="F7" s="6" t="s">
        <v>48</v>
      </c>
      <c r="G7" s="5" t="s">
        <v>34</v>
      </c>
      <c r="H7" s="5" t="s">
        <v>35</v>
      </c>
      <c r="I7" s="5">
        <v>1.0</v>
      </c>
      <c r="J7" s="5" t="s">
        <v>36</v>
      </c>
      <c r="K7" s="6" t="str">
        <f t="array" ref="K7">IFERROR(INDEX('Team Split'!$B$5:$B$8,MATCH(J7,'Team Split'!$A$5:$A$8,0))&amp;"","")</f>
        <v/>
      </c>
      <c r="L7" s="5">
        <v>3.0</v>
      </c>
      <c r="M7" s="5" t="s">
        <v>37</v>
      </c>
      <c r="N7" s="5" t="str">
        <f t="array" ref="N7">IFERROR(INDEX('Team Split'!$F$5:$F$8,MATCH(J7,'Team Split'!$A$5:$A$8,0))&amp;"","")</f>
        <v>C</v>
      </c>
    </row>
    <row r="8" ht="44.25" customHeight="1">
      <c r="A8" s="5">
        <v>7.0</v>
      </c>
      <c r="B8" s="6" t="s">
        <v>29</v>
      </c>
      <c r="C8" s="5">
        <v>6.0</v>
      </c>
      <c r="D8" s="6" t="s">
        <v>31</v>
      </c>
      <c r="E8" s="6" t="s">
        <v>49</v>
      </c>
      <c r="F8" s="6" t="s">
        <v>50</v>
      </c>
      <c r="G8" s="5" t="s">
        <v>51</v>
      </c>
      <c r="H8" s="5" t="s">
        <v>35</v>
      </c>
      <c r="I8" s="5">
        <v>1.0</v>
      </c>
      <c r="J8" s="5" t="s">
        <v>52</v>
      </c>
      <c r="K8" s="6" t="str">
        <f t="array" ref="K8">IFERROR(INDEX('Team Split'!$B$5:$B$8,MATCH(J8,'Team Split'!$A$5:$A$8,0))&amp;"","")</f>
        <v/>
      </c>
      <c r="L8" s="5">
        <v>3.0</v>
      </c>
      <c r="M8" s="5" t="s">
        <v>37</v>
      </c>
      <c r="N8" s="5" t="str">
        <f t="array" ref="N8">IFERROR(INDEX('Team Split'!$F$5:$F$8,MATCH(J8,'Team Split'!$A$5:$A$8,0))&amp;"","")</f>
        <v>B</v>
      </c>
    </row>
    <row r="9" ht="44.25" customHeight="1">
      <c r="A9" s="5">
        <v>8.0</v>
      </c>
      <c r="B9" s="6" t="s">
        <v>29</v>
      </c>
      <c r="C9" s="5">
        <v>3.0</v>
      </c>
      <c r="D9" s="6" t="s">
        <v>31</v>
      </c>
      <c r="E9" s="6" t="s">
        <v>53</v>
      </c>
      <c r="F9" s="6" t="s">
        <v>54</v>
      </c>
      <c r="G9" s="5" t="s">
        <v>55</v>
      </c>
      <c r="H9" s="5" t="s">
        <v>35</v>
      </c>
      <c r="I9" s="5">
        <v>1.0</v>
      </c>
      <c r="J9" s="5" t="s">
        <v>56</v>
      </c>
      <c r="K9" s="6" t="str">
        <f t="array" ref="K9">IFERROR(INDEX('Team Split'!$B$5:$B$8,MATCH(J9,'Team Split'!$A$5:$A$8,0))&amp;"","")</f>
        <v/>
      </c>
      <c r="L9" s="5">
        <v>3.0</v>
      </c>
      <c r="M9" s="5" t="s">
        <v>37</v>
      </c>
      <c r="N9" s="5" t="str">
        <f t="array" ref="N9">IFERROR(INDEX('Team Split'!$F$5:$F$8,MATCH(J9,'Team Split'!$A$5:$A$8,0))&amp;"","")</f>
        <v>A</v>
      </c>
    </row>
    <row r="10" ht="44.25" customHeight="1">
      <c r="A10" s="5">
        <v>9.0</v>
      </c>
      <c r="B10" s="6" t="s">
        <v>29</v>
      </c>
      <c r="C10" s="5">
        <v>5.0</v>
      </c>
      <c r="D10" s="6" t="s">
        <v>31</v>
      </c>
      <c r="E10" s="6" t="s">
        <v>57</v>
      </c>
      <c r="F10" s="6" t="s">
        <v>58</v>
      </c>
      <c r="G10" s="5" t="s">
        <v>59</v>
      </c>
      <c r="H10" s="5" t="s">
        <v>35</v>
      </c>
      <c r="I10" s="5">
        <v>1.0</v>
      </c>
      <c r="J10" s="5" t="s">
        <v>36</v>
      </c>
      <c r="K10" s="6" t="str">
        <f t="array" ref="K10">IFERROR(INDEX('Team Split'!$B$5:$B$8,MATCH(J10,'Team Split'!$A$5:$A$8,0))&amp;"","")</f>
        <v/>
      </c>
      <c r="L10" s="5">
        <v>2.0</v>
      </c>
      <c r="M10" s="5" t="s">
        <v>37</v>
      </c>
      <c r="N10" s="5" t="str">
        <f t="array" ref="N10">IFERROR(INDEX('Team Split'!$F$5:$F$8,MATCH(J10,'Team Split'!$A$5:$A$8,0))&amp;"","")</f>
        <v>C</v>
      </c>
    </row>
    <row r="11" ht="57.75" customHeight="1">
      <c r="A11" s="5">
        <v>10.0</v>
      </c>
      <c r="B11" s="6" t="s">
        <v>29</v>
      </c>
      <c r="C11" s="5">
        <v>5.0</v>
      </c>
      <c r="D11" s="6" t="s">
        <v>31</v>
      </c>
      <c r="E11" s="6" t="s">
        <v>60</v>
      </c>
      <c r="F11" s="6" t="s">
        <v>61</v>
      </c>
      <c r="G11" s="5" t="s">
        <v>62</v>
      </c>
      <c r="H11" s="5" t="s">
        <v>35</v>
      </c>
      <c r="I11" s="5">
        <v>1.0</v>
      </c>
      <c r="J11" s="5" t="s">
        <v>36</v>
      </c>
      <c r="K11" s="6" t="str">
        <f t="array" ref="K11">IFERROR(INDEX('Team Split'!$B$5:$B$8,MATCH(J11,'Team Split'!$A$5:$A$8,0))&amp;"","")</f>
        <v/>
      </c>
      <c r="L11" s="5">
        <v>3.0</v>
      </c>
      <c r="M11" s="5" t="s">
        <v>37</v>
      </c>
      <c r="N11" s="5" t="str">
        <f t="array" ref="N11">IFERROR(INDEX('Team Split'!$F$5:$F$8,MATCH(J11,'Team Split'!$A$5:$A$8,0))&amp;"","")</f>
        <v>C</v>
      </c>
    </row>
    <row r="12" ht="30.75" customHeight="1">
      <c r="A12" s="5">
        <v>11.0</v>
      </c>
      <c r="B12" s="6" t="s">
        <v>29</v>
      </c>
      <c r="C12" s="5">
        <v>4.0</v>
      </c>
      <c r="D12" s="6" t="s">
        <v>31</v>
      </c>
      <c r="E12" s="6" t="s">
        <v>63</v>
      </c>
      <c r="F12" s="6" t="s">
        <v>64</v>
      </c>
      <c r="G12" s="5" t="s">
        <v>65</v>
      </c>
      <c r="H12" s="5" t="s">
        <v>35</v>
      </c>
      <c r="I12" s="5">
        <v>1.0</v>
      </c>
      <c r="J12" s="5" t="s">
        <v>56</v>
      </c>
      <c r="K12" s="6" t="str">
        <f t="array" ref="K12">IFERROR(INDEX('Team Split'!$B$5:$B$8,MATCH(J12,'Team Split'!$A$5:$A$8,0))&amp;"","")</f>
        <v/>
      </c>
      <c r="L12" s="5">
        <v>2.0</v>
      </c>
      <c r="M12" s="5" t="s">
        <v>37</v>
      </c>
      <c r="N12" s="5" t="str">
        <f t="array" ref="N12">IFERROR(INDEX('Team Split'!$F$5:$F$8,MATCH(J12,'Team Split'!$A$5:$A$8,0))&amp;"","")</f>
        <v>A</v>
      </c>
    </row>
    <row r="13" ht="44.25" customHeight="1">
      <c r="A13" s="5">
        <v>12.0</v>
      </c>
      <c r="B13" s="6" t="s">
        <v>29</v>
      </c>
      <c r="C13" s="5" t="s">
        <v>30</v>
      </c>
      <c r="D13" s="6" t="s">
        <v>31</v>
      </c>
      <c r="E13" s="6" t="s">
        <v>66</v>
      </c>
      <c r="F13" s="6" t="s">
        <v>67</v>
      </c>
      <c r="G13" s="5" t="s">
        <v>65</v>
      </c>
      <c r="H13" s="5" t="s">
        <v>35</v>
      </c>
      <c r="I13" s="5">
        <v>1.0</v>
      </c>
      <c r="J13" s="5" t="s">
        <v>36</v>
      </c>
      <c r="K13" s="6" t="str">
        <f t="array" ref="K13">IFERROR(INDEX('Team Split'!$B$5:$B$8,MATCH(J13,'Team Split'!$A$5:$A$8,0))&amp;"","")</f>
        <v/>
      </c>
      <c r="L13" s="5">
        <v>1.0</v>
      </c>
      <c r="M13" s="5" t="s">
        <v>37</v>
      </c>
      <c r="N13" s="5" t="str">
        <f t="array" ref="N13">IFERROR(INDEX('Team Split'!$F$5:$F$8,MATCH(J13,'Team Split'!$A$5:$A$8,0))&amp;"","")</f>
        <v>C</v>
      </c>
    </row>
    <row r="14" ht="30.75" customHeight="1">
      <c r="A14" s="5">
        <v>13.0</v>
      </c>
      <c r="B14" s="6" t="s">
        <v>29</v>
      </c>
      <c r="C14" s="5" t="s">
        <v>30</v>
      </c>
      <c r="D14" s="6" t="s">
        <v>31</v>
      </c>
      <c r="E14" s="6" t="s">
        <v>68</v>
      </c>
      <c r="F14" s="6" t="s">
        <v>69</v>
      </c>
      <c r="G14" s="5" t="s">
        <v>62</v>
      </c>
      <c r="H14" s="5" t="s">
        <v>35</v>
      </c>
      <c r="I14" s="5">
        <v>1.0</v>
      </c>
      <c r="J14" s="5" t="s">
        <v>36</v>
      </c>
      <c r="K14" s="6" t="str">
        <f t="array" ref="K14">IFERROR(INDEX('Team Split'!$B$5:$B$8,MATCH(J14,'Team Split'!$A$5:$A$8,0))&amp;"","")</f>
        <v/>
      </c>
      <c r="L14" s="5">
        <v>1.0</v>
      </c>
      <c r="M14" s="5" t="s">
        <v>37</v>
      </c>
      <c r="N14" s="5" t="str">
        <f t="array" ref="N14">IFERROR(INDEX('Team Split'!$F$5:$F$8,MATCH(J14,'Team Split'!$A$5:$A$8,0))&amp;"","")</f>
        <v>C</v>
      </c>
    </row>
    <row r="15" ht="30.75" customHeight="1">
      <c r="A15" s="5">
        <v>14.0</v>
      </c>
      <c r="B15" s="6" t="s">
        <v>29</v>
      </c>
      <c r="C15" s="5" t="s">
        <v>30</v>
      </c>
      <c r="D15" s="6" t="s">
        <v>31</v>
      </c>
      <c r="E15" s="6" t="s">
        <v>70</v>
      </c>
      <c r="F15" s="6" t="s">
        <v>71</v>
      </c>
      <c r="G15" s="5" t="s">
        <v>40</v>
      </c>
      <c r="H15" s="5" t="s">
        <v>35</v>
      </c>
      <c r="I15" s="5">
        <v>1.0</v>
      </c>
      <c r="J15" s="5" t="s">
        <v>36</v>
      </c>
      <c r="K15" s="6" t="str">
        <f t="array" ref="K15">IFERROR(INDEX('Team Split'!$B$5:$B$8,MATCH(J15,'Team Split'!$A$5:$A$8,0))&amp;"","")</f>
        <v/>
      </c>
      <c r="L15" s="5">
        <v>1.0</v>
      </c>
      <c r="M15" s="5" t="s">
        <v>37</v>
      </c>
      <c r="N15" s="5" t="str">
        <f t="array" ref="N15">IFERROR(INDEX('Team Split'!$F$5:$F$8,MATCH(J15,'Team Split'!$A$5:$A$8,0))&amp;"","")</f>
        <v>C</v>
      </c>
    </row>
    <row r="16" ht="30.75" customHeight="1">
      <c r="A16" s="5">
        <v>15.0</v>
      </c>
      <c r="B16" s="6" t="s">
        <v>29</v>
      </c>
      <c r="C16" s="5">
        <v>6.0</v>
      </c>
      <c r="D16" s="6" t="s">
        <v>72</v>
      </c>
      <c r="E16" s="6" t="s">
        <v>73</v>
      </c>
      <c r="F16" s="6" t="s">
        <v>74</v>
      </c>
      <c r="G16" s="5" t="s">
        <v>75</v>
      </c>
      <c r="H16" s="5" t="s">
        <v>35</v>
      </c>
      <c r="I16" s="5">
        <v>1.0</v>
      </c>
      <c r="J16" s="5" t="s">
        <v>36</v>
      </c>
      <c r="K16" s="6" t="str">
        <f t="array" ref="K16">IFERROR(INDEX('Team Split'!$B$5:$B$8,MATCH(J16,'Team Split'!$A$5:$A$8,0))&amp;"","")</f>
        <v/>
      </c>
      <c r="L16" s="5">
        <v>1.0</v>
      </c>
      <c r="M16" s="5" t="s">
        <v>37</v>
      </c>
      <c r="N16" s="5" t="str">
        <f t="array" ref="N16">IFERROR(INDEX('Team Split'!$F$5:$F$8,MATCH(J16,'Team Split'!$A$5:$A$8,0))&amp;"","")</f>
        <v>C</v>
      </c>
    </row>
    <row r="17" ht="30.75" customHeight="1">
      <c r="A17" s="5">
        <v>16.0</v>
      </c>
      <c r="B17" s="6" t="s">
        <v>29</v>
      </c>
      <c r="C17" s="5">
        <v>8.0</v>
      </c>
      <c r="D17" s="6" t="s">
        <v>31</v>
      </c>
      <c r="E17" s="6" t="s">
        <v>76</v>
      </c>
      <c r="F17" s="6" t="s">
        <v>77</v>
      </c>
      <c r="G17" s="5" t="s">
        <v>34</v>
      </c>
      <c r="H17" s="5" t="s">
        <v>78</v>
      </c>
      <c r="I17" s="5">
        <v>1.0</v>
      </c>
      <c r="J17" s="5" t="s">
        <v>56</v>
      </c>
      <c r="K17" s="6" t="str">
        <f t="array" ref="K17">IFERROR(INDEX('Team Split'!$B$5:$B$8,MATCH(J17,'Team Split'!$A$5:$A$8,0))&amp;"","")</f>
        <v/>
      </c>
      <c r="L17" s="5">
        <v>1.0</v>
      </c>
      <c r="M17" s="5" t="s">
        <v>37</v>
      </c>
      <c r="N17" s="5" t="str">
        <f t="array" ref="N17">IFERROR(INDEX('Team Split'!$F$5:$F$8,MATCH(J17,'Team Split'!$A$5:$A$8,0))&amp;"","")</f>
        <v>A</v>
      </c>
    </row>
    <row r="18" ht="30.75" customHeight="1">
      <c r="A18" s="5">
        <v>17.0</v>
      </c>
      <c r="B18" s="6" t="s">
        <v>29</v>
      </c>
      <c r="C18" s="5">
        <v>9.0</v>
      </c>
      <c r="D18" s="6" t="s">
        <v>31</v>
      </c>
      <c r="E18" s="6" t="s">
        <v>79</v>
      </c>
      <c r="F18" s="6" t="s">
        <v>80</v>
      </c>
      <c r="G18" s="5" t="s">
        <v>81</v>
      </c>
      <c r="H18" s="5" t="s">
        <v>78</v>
      </c>
      <c r="I18" s="5">
        <v>2.0</v>
      </c>
      <c r="J18" s="5" t="s">
        <v>36</v>
      </c>
      <c r="K18" s="6" t="str">
        <f t="array" ref="K18">IFERROR(INDEX('Team Split'!$B$5:$B$8,MATCH(J18,'Team Split'!$A$5:$A$8,0))&amp;"","")</f>
        <v/>
      </c>
      <c r="L18" s="5">
        <v>1.0</v>
      </c>
      <c r="M18" s="5" t="s">
        <v>37</v>
      </c>
      <c r="N18" s="5" t="str">
        <f t="array" ref="N18">IFERROR(INDEX('Team Split'!$F$5:$F$8,MATCH(J18,'Team Split'!$A$5:$A$8,0))&amp;"","")</f>
        <v>C</v>
      </c>
    </row>
    <row r="19" ht="30.75" customHeight="1">
      <c r="A19" s="5">
        <v>18.0</v>
      </c>
      <c r="B19" s="6" t="s">
        <v>82</v>
      </c>
      <c r="C19" s="5" t="s">
        <v>83</v>
      </c>
      <c r="D19" s="6" t="s">
        <v>72</v>
      </c>
      <c r="E19" s="6" t="s">
        <v>84</v>
      </c>
      <c r="F19" s="6" t="s">
        <v>85</v>
      </c>
      <c r="G19" s="5" t="s">
        <v>59</v>
      </c>
      <c r="H19" s="5" t="s">
        <v>35</v>
      </c>
      <c r="I19" s="5">
        <v>1.0</v>
      </c>
      <c r="J19" s="5" t="s">
        <v>56</v>
      </c>
      <c r="K19" s="6" t="str">
        <f t="array" ref="K19">IFERROR(INDEX('Team Split'!$B$5:$B$8,MATCH(J19,'Team Split'!$A$5:$A$8,0))&amp;"","")</f>
        <v/>
      </c>
      <c r="L19" s="5">
        <v>2.0</v>
      </c>
      <c r="M19" s="5" t="s">
        <v>37</v>
      </c>
      <c r="N19" s="5" t="str">
        <f t="array" ref="N19">IFERROR(INDEX('Team Split'!$F$5:$F$8,MATCH(J19,'Team Split'!$A$5:$A$8,0))&amp;"","")</f>
        <v>A</v>
      </c>
    </row>
    <row r="20" ht="30.75" customHeight="1">
      <c r="A20" s="5">
        <v>19.0</v>
      </c>
      <c r="B20" s="6" t="s">
        <v>82</v>
      </c>
      <c r="C20" s="5" t="s">
        <v>86</v>
      </c>
      <c r="D20" s="6" t="s">
        <v>72</v>
      </c>
      <c r="E20" s="6" t="s">
        <v>87</v>
      </c>
      <c r="F20" s="6" t="s">
        <v>88</v>
      </c>
      <c r="G20" s="5" t="s">
        <v>59</v>
      </c>
      <c r="H20" s="5" t="s">
        <v>35</v>
      </c>
      <c r="I20" s="5">
        <v>1.0</v>
      </c>
      <c r="J20" s="5" t="s">
        <v>56</v>
      </c>
      <c r="K20" s="6" t="str">
        <f t="array" ref="K20">IFERROR(INDEX('Team Split'!$B$5:$B$8,MATCH(J20,'Team Split'!$A$5:$A$8,0))&amp;"","")</f>
        <v/>
      </c>
      <c r="L20" s="5">
        <v>2.0</v>
      </c>
      <c r="M20" s="5" t="s">
        <v>37</v>
      </c>
      <c r="N20" s="5" t="str">
        <f t="array" ref="N20">IFERROR(INDEX('Team Split'!$F$5:$F$8,MATCH(J20,'Team Split'!$A$5:$A$8,0))&amp;"","")</f>
        <v>A</v>
      </c>
    </row>
    <row r="21" ht="30.75" customHeight="1">
      <c r="A21" s="5">
        <v>20.0</v>
      </c>
      <c r="B21" s="6" t="s">
        <v>82</v>
      </c>
      <c r="C21" s="5">
        <v>19.0</v>
      </c>
      <c r="D21" s="6" t="s">
        <v>72</v>
      </c>
      <c r="E21" s="6" t="s">
        <v>89</v>
      </c>
      <c r="F21" s="6" t="s">
        <v>90</v>
      </c>
      <c r="G21" s="5" t="s">
        <v>59</v>
      </c>
      <c r="H21" s="5" t="s">
        <v>35</v>
      </c>
      <c r="I21" s="5">
        <v>1.0</v>
      </c>
      <c r="J21" s="5" t="s">
        <v>56</v>
      </c>
      <c r="K21" s="6" t="str">
        <f t="array" ref="K21">IFERROR(INDEX('Team Split'!$B$5:$B$8,MATCH(J21,'Team Split'!$A$5:$A$8,0))&amp;"","")</f>
        <v/>
      </c>
      <c r="L21" s="5">
        <v>1.0</v>
      </c>
      <c r="M21" s="5" t="s">
        <v>37</v>
      </c>
      <c r="N21" s="5" t="str">
        <f t="array" ref="N21">IFERROR(INDEX('Team Split'!$F$5:$F$8,MATCH(J21,'Team Split'!$A$5:$A$8,0))&amp;"","")</f>
        <v>A</v>
      </c>
    </row>
    <row r="22" ht="30.75" customHeight="1">
      <c r="A22" s="5">
        <v>21.0</v>
      </c>
      <c r="B22" s="6" t="s">
        <v>82</v>
      </c>
      <c r="C22" s="5">
        <v>19.0</v>
      </c>
      <c r="D22" s="6" t="s">
        <v>72</v>
      </c>
      <c r="E22" s="6" t="s">
        <v>91</v>
      </c>
      <c r="F22" s="6" t="s">
        <v>92</v>
      </c>
      <c r="G22" s="5" t="s">
        <v>59</v>
      </c>
      <c r="H22" s="5" t="s">
        <v>35</v>
      </c>
      <c r="I22" s="5">
        <v>1.0</v>
      </c>
      <c r="J22" s="5" t="s">
        <v>56</v>
      </c>
      <c r="K22" s="6" t="str">
        <f t="array" ref="K22">IFERROR(INDEX('Team Split'!$B$5:$B$8,MATCH(J22,'Team Split'!$A$5:$A$8,0))&amp;"","")</f>
        <v/>
      </c>
      <c r="L22" s="5">
        <v>1.0</v>
      </c>
      <c r="M22" s="5" t="s">
        <v>37</v>
      </c>
      <c r="N22" s="5" t="str">
        <f t="array" ref="N22">IFERROR(INDEX('Team Split'!$F$5:$F$8,MATCH(J22,'Team Split'!$A$5:$A$8,0))&amp;"","")</f>
        <v>A</v>
      </c>
    </row>
    <row r="23" ht="17.25" customHeight="1">
      <c r="A23" s="5">
        <v>22.0</v>
      </c>
      <c r="B23" s="6" t="s">
        <v>82</v>
      </c>
      <c r="C23" s="5">
        <v>19.0</v>
      </c>
      <c r="D23" s="6" t="s">
        <v>72</v>
      </c>
      <c r="E23" s="6" t="s">
        <v>93</v>
      </c>
      <c r="F23" s="6" t="s">
        <v>94</v>
      </c>
      <c r="G23" s="5" t="s">
        <v>95</v>
      </c>
      <c r="H23" s="5" t="s">
        <v>96</v>
      </c>
      <c r="I23" s="5">
        <v>3.0</v>
      </c>
      <c r="J23" s="5" t="s">
        <v>56</v>
      </c>
      <c r="K23" s="6" t="str">
        <f t="array" ref="K23">IFERROR(INDEX('Team Split'!$B$5:$B$8,MATCH(J23,'Team Split'!$A$5:$A$8,0))&amp;"","")</f>
        <v/>
      </c>
      <c r="L23" s="5">
        <v>1.0</v>
      </c>
      <c r="M23" s="5" t="s">
        <v>37</v>
      </c>
      <c r="N23" s="5" t="str">
        <f t="array" ref="N23">IFERROR(INDEX('Team Split'!$F$5:$F$8,MATCH(J23,'Team Split'!$A$5:$A$8,0))&amp;"","")</f>
        <v>A</v>
      </c>
    </row>
    <row r="24" ht="30.75" customHeight="1">
      <c r="A24" s="5">
        <v>23.0</v>
      </c>
      <c r="B24" s="6" t="s">
        <v>82</v>
      </c>
      <c r="C24" s="5">
        <v>9.0</v>
      </c>
      <c r="D24" s="6" t="s">
        <v>72</v>
      </c>
      <c r="E24" s="6" t="s">
        <v>97</v>
      </c>
      <c r="F24" s="6" t="s">
        <v>98</v>
      </c>
      <c r="G24" s="5" t="s">
        <v>59</v>
      </c>
      <c r="H24" s="5" t="s">
        <v>35</v>
      </c>
      <c r="I24" s="5">
        <v>2.0</v>
      </c>
      <c r="J24" s="5" t="s">
        <v>56</v>
      </c>
      <c r="K24" s="6" t="str">
        <f t="array" ref="K24">IFERROR(INDEX('Team Split'!$B$5:$B$8,MATCH(J24,'Team Split'!$A$5:$A$8,0))&amp;"","")</f>
        <v/>
      </c>
      <c r="L24" s="5">
        <v>2.0</v>
      </c>
      <c r="M24" s="5" t="s">
        <v>37</v>
      </c>
      <c r="N24" s="5" t="str">
        <f t="array" ref="N24">IFERROR(INDEX('Team Split'!$F$5:$F$8,MATCH(J24,'Team Split'!$A$5:$A$8,0))&amp;"","")</f>
        <v>A</v>
      </c>
    </row>
    <row r="25" ht="30.75" customHeight="1">
      <c r="A25" s="5">
        <v>24.0</v>
      </c>
      <c r="B25" s="6" t="s">
        <v>82</v>
      </c>
      <c r="C25" s="5">
        <v>23.0</v>
      </c>
      <c r="D25" s="6" t="s">
        <v>72</v>
      </c>
      <c r="E25" s="6" t="s">
        <v>99</v>
      </c>
      <c r="F25" s="6" t="s">
        <v>100</v>
      </c>
      <c r="G25" s="5" t="s">
        <v>59</v>
      </c>
      <c r="H25" s="5" t="s">
        <v>35</v>
      </c>
      <c r="I25" s="5">
        <v>2.0</v>
      </c>
      <c r="J25" s="5" t="s">
        <v>56</v>
      </c>
      <c r="K25" s="6" t="str">
        <f t="array" ref="K25">IFERROR(INDEX('Team Split'!$B$5:$B$8,MATCH(J25,'Team Split'!$A$5:$A$8,0))&amp;"","")</f>
        <v/>
      </c>
      <c r="L25" s="5">
        <v>1.0</v>
      </c>
      <c r="M25" s="5" t="s">
        <v>37</v>
      </c>
      <c r="N25" s="5" t="str">
        <f t="array" ref="N25">IFERROR(INDEX('Team Split'!$F$5:$F$8,MATCH(J25,'Team Split'!$A$5:$A$8,0))&amp;"","")</f>
        <v>A</v>
      </c>
    </row>
    <row r="26" ht="44.25" customHeight="1">
      <c r="A26" s="5">
        <v>25.0</v>
      </c>
      <c r="B26" s="6" t="s">
        <v>82</v>
      </c>
      <c r="C26" s="5" t="s">
        <v>101</v>
      </c>
      <c r="D26" s="6" t="s">
        <v>72</v>
      </c>
      <c r="E26" s="6" t="s">
        <v>102</v>
      </c>
      <c r="F26" s="6" t="s">
        <v>103</v>
      </c>
      <c r="G26" s="5" t="s">
        <v>59</v>
      </c>
      <c r="H26" s="5" t="s">
        <v>35</v>
      </c>
      <c r="I26" s="5">
        <v>2.0</v>
      </c>
      <c r="J26" s="5" t="s">
        <v>36</v>
      </c>
      <c r="K26" s="6" t="str">
        <f t="array" ref="K26">IFERROR(INDEX('Team Split'!$B$5:$B$8,MATCH(J26,'Team Split'!$A$5:$A$8,0))&amp;"","")</f>
        <v/>
      </c>
      <c r="L26" s="5">
        <v>2.0</v>
      </c>
      <c r="M26" s="5" t="s">
        <v>37</v>
      </c>
      <c r="N26" s="5" t="str">
        <f t="array" ref="N26">IFERROR(INDEX('Team Split'!$F$5:$F$8,MATCH(J26,'Team Split'!$A$5:$A$8,0))&amp;"","")</f>
        <v>C</v>
      </c>
    </row>
    <row r="27" ht="30.75" customHeight="1">
      <c r="A27" s="5">
        <v>26.0</v>
      </c>
      <c r="B27" s="6" t="s">
        <v>82</v>
      </c>
      <c r="C27" s="5">
        <v>23.0</v>
      </c>
      <c r="D27" s="6" t="s">
        <v>72</v>
      </c>
      <c r="E27" s="6" t="s">
        <v>104</v>
      </c>
      <c r="F27" s="6" t="s">
        <v>105</v>
      </c>
      <c r="G27" s="5" t="s">
        <v>59</v>
      </c>
      <c r="H27" s="5" t="s">
        <v>35</v>
      </c>
      <c r="I27" s="5">
        <v>2.0</v>
      </c>
      <c r="J27" s="5" t="s">
        <v>56</v>
      </c>
      <c r="K27" s="6" t="str">
        <f t="array" ref="K27">IFERROR(INDEX('Team Split'!$B$5:$B$8,MATCH(J27,'Team Split'!$A$5:$A$8,0))&amp;"","")</f>
        <v/>
      </c>
      <c r="L27" s="5">
        <v>1.0</v>
      </c>
      <c r="M27" s="5" t="s">
        <v>37</v>
      </c>
      <c r="N27" s="5" t="str">
        <f t="array" ref="N27">IFERROR(INDEX('Team Split'!$F$5:$F$8,MATCH(J27,'Team Split'!$A$5:$A$8,0))&amp;"","")</f>
        <v>A</v>
      </c>
    </row>
    <row r="28" ht="30.75" customHeight="1">
      <c r="A28" s="5">
        <v>27.0</v>
      </c>
      <c r="B28" s="6" t="s">
        <v>82</v>
      </c>
      <c r="C28" s="5">
        <v>9.0</v>
      </c>
      <c r="D28" s="6" t="s">
        <v>72</v>
      </c>
      <c r="E28" s="6" t="s">
        <v>106</v>
      </c>
      <c r="F28" s="6" t="s">
        <v>107</v>
      </c>
      <c r="G28" s="5" t="s">
        <v>59</v>
      </c>
      <c r="H28" s="5" t="s">
        <v>35</v>
      </c>
      <c r="I28" s="5">
        <v>2.0</v>
      </c>
      <c r="J28" s="5" t="s">
        <v>56</v>
      </c>
      <c r="K28" s="6" t="str">
        <f t="array" ref="K28">IFERROR(INDEX('Team Split'!$B$5:$B$8,MATCH(J28,'Team Split'!$A$5:$A$8,0))&amp;"","")</f>
        <v/>
      </c>
      <c r="L28" s="5">
        <v>2.0</v>
      </c>
      <c r="M28" s="5" t="s">
        <v>37</v>
      </c>
      <c r="N28" s="5" t="str">
        <f t="array" ref="N28">IFERROR(INDEX('Team Split'!$F$5:$F$8,MATCH(J28,'Team Split'!$A$5:$A$8,0))&amp;"","")</f>
        <v>A</v>
      </c>
    </row>
    <row r="29" ht="30.75" customHeight="1">
      <c r="A29" s="5">
        <v>28.0</v>
      </c>
      <c r="B29" s="6" t="s">
        <v>82</v>
      </c>
      <c r="C29" s="5">
        <v>8.0</v>
      </c>
      <c r="D29" s="6" t="s">
        <v>72</v>
      </c>
      <c r="E29" s="6" t="s">
        <v>108</v>
      </c>
      <c r="F29" s="6" t="s">
        <v>109</v>
      </c>
      <c r="G29" s="5" t="s">
        <v>59</v>
      </c>
      <c r="H29" s="5" t="s">
        <v>110</v>
      </c>
      <c r="I29" s="5">
        <v>3.0</v>
      </c>
      <c r="J29" s="5" t="s">
        <v>56</v>
      </c>
      <c r="K29" s="6" t="str">
        <f t="array" ref="K29">IFERROR(INDEX('Team Split'!$B$5:$B$8,MATCH(J29,'Team Split'!$A$5:$A$8,0))&amp;"","")</f>
        <v/>
      </c>
      <c r="L29" s="5">
        <v>1.0</v>
      </c>
      <c r="M29" s="5" t="s">
        <v>37</v>
      </c>
      <c r="N29" s="5" t="str">
        <f t="array" ref="N29">IFERROR(INDEX('Team Split'!$F$5:$F$8,MATCH(J29,'Team Split'!$A$5:$A$8,0))&amp;"","")</f>
        <v>A</v>
      </c>
    </row>
    <row r="30" ht="30.75" customHeight="1">
      <c r="A30" s="5">
        <v>29.0</v>
      </c>
      <c r="B30" s="6" t="s">
        <v>111</v>
      </c>
      <c r="C30" s="5" t="s">
        <v>30</v>
      </c>
      <c r="D30" s="6" t="s">
        <v>112</v>
      </c>
      <c r="E30" s="6" t="s">
        <v>113</v>
      </c>
      <c r="F30" s="6" t="s">
        <v>114</v>
      </c>
      <c r="G30" s="5" t="s">
        <v>115</v>
      </c>
      <c r="H30" s="5" t="s">
        <v>35</v>
      </c>
      <c r="I30" s="5">
        <v>1.0</v>
      </c>
      <c r="J30" s="5" t="s">
        <v>52</v>
      </c>
      <c r="K30" s="6" t="str">
        <f t="array" ref="K30">IFERROR(INDEX('Team Split'!$B$5:$B$8,MATCH(J30,'Team Split'!$A$5:$A$8,0))&amp;"","")</f>
        <v/>
      </c>
      <c r="L30" s="5">
        <v>1.0</v>
      </c>
      <c r="M30" s="5" t="s">
        <v>37</v>
      </c>
      <c r="N30" s="5" t="str">
        <f t="array" ref="N30">IFERROR(INDEX('Team Split'!$F$5:$F$8,MATCH(J30,'Team Split'!$A$5:$A$8,0))&amp;"","")</f>
        <v>B</v>
      </c>
    </row>
    <row r="31" ht="44.25" customHeight="1">
      <c r="A31" s="5">
        <v>30.0</v>
      </c>
      <c r="B31" s="6" t="s">
        <v>111</v>
      </c>
      <c r="C31" s="5">
        <v>7.0</v>
      </c>
      <c r="D31" s="6" t="s">
        <v>31</v>
      </c>
      <c r="E31" s="6" t="s">
        <v>116</v>
      </c>
      <c r="F31" s="6" t="s">
        <v>117</v>
      </c>
      <c r="G31" s="5" t="s">
        <v>115</v>
      </c>
      <c r="H31" s="5" t="s">
        <v>35</v>
      </c>
      <c r="I31" s="5">
        <v>2.0</v>
      </c>
      <c r="J31" s="5" t="s">
        <v>52</v>
      </c>
      <c r="K31" s="6" t="str">
        <f t="array" ref="K31">IFERROR(INDEX('Team Split'!$B$5:$B$8,MATCH(J31,'Team Split'!$A$5:$A$8,0))&amp;"","")</f>
        <v/>
      </c>
      <c r="L31" s="5">
        <v>3.0</v>
      </c>
      <c r="M31" s="5" t="s">
        <v>37</v>
      </c>
      <c r="N31" s="5" t="str">
        <f t="array" ref="N31">IFERROR(INDEX('Team Split'!$F$5:$F$8,MATCH(J31,'Team Split'!$A$5:$A$8,0))&amp;"","")</f>
        <v>B</v>
      </c>
    </row>
    <row r="32" ht="44.25" customHeight="1">
      <c r="A32" s="5">
        <v>31.0</v>
      </c>
      <c r="B32" s="6" t="s">
        <v>111</v>
      </c>
      <c r="C32" s="5" t="s">
        <v>118</v>
      </c>
      <c r="D32" s="6" t="s">
        <v>72</v>
      </c>
      <c r="E32" s="6" t="s">
        <v>119</v>
      </c>
      <c r="F32" s="6" t="s">
        <v>120</v>
      </c>
      <c r="G32" s="5" t="s">
        <v>115</v>
      </c>
      <c r="H32" s="5" t="s">
        <v>35</v>
      </c>
      <c r="I32" s="5">
        <v>2.0</v>
      </c>
      <c r="J32" s="5" t="s">
        <v>52</v>
      </c>
      <c r="K32" s="6" t="str">
        <f t="array" ref="K32">IFERROR(INDEX('Team Split'!$B$5:$B$8,MATCH(J32,'Team Split'!$A$5:$A$8,0))&amp;"","")</f>
        <v/>
      </c>
      <c r="L32" s="5">
        <v>2.0</v>
      </c>
      <c r="M32" s="5" t="s">
        <v>37</v>
      </c>
      <c r="N32" s="5" t="str">
        <f t="array" ref="N32">IFERROR(INDEX('Team Split'!$F$5:$F$8,MATCH(J32,'Team Split'!$A$5:$A$8,0))&amp;"","")</f>
        <v>B</v>
      </c>
    </row>
    <row r="33" ht="30.75" customHeight="1">
      <c r="A33" s="5">
        <v>32.0</v>
      </c>
      <c r="B33" s="6" t="s">
        <v>111</v>
      </c>
      <c r="C33" s="5" t="s">
        <v>121</v>
      </c>
      <c r="D33" s="6" t="s">
        <v>72</v>
      </c>
      <c r="E33" s="6" t="s">
        <v>122</v>
      </c>
      <c r="F33" s="6" t="s">
        <v>123</v>
      </c>
      <c r="G33" s="5" t="s">
        <v>115</v>
      </c>
      <c r="H33" s="5" t="s">
        <v>35</v>
      </c>
      <c r="I33" s="5">
        <v>3.0</v>
      </c>
      <c r="J33" s="5" t="s">
        <v>52</v>
      </c>
      <c r="K33" s="6" t="str">
        <f t="array" ref="K33">IFERROR(INDEX('Team Split'!$B$5:$B$8,MATCH(J33,'Team Split'!$A$5:$A$8,0))&amp;"","")</f>
        <v/>
      </c>
      <c r="L33" s="5">
        <v>3.0</v>
      </c>
      <c r="M33" s="5" t="s">
        <v>37</v>
      </c>
      <c r="N33" s="5" t="str">
        <f t="array" ref="N33">IFERROR(INDEX('Team Split'!$F$5:$F$8,MATCH(J33,'Team Split'!$A$5:$A$8,0))&amp;"","")</f>
        <v>B</v>
      </c>
    </row>
    <row r="34" ht="44.25" customHeight="1">
      <c r="A34" s="5">
        <v>33.0</v>
      </c>
      <c r="B34" s="6" t="s">
        <v>111</v>
      </c>
      <c r="C34" s="5" t="s">
        <v>124</v>
      </c>
      <c r="D34" s="6" t="s">
        <v>72</v>
      </c>
      <c r="E34" s="6" t="s">
        <v>125</v>
      </c>
      <c r="F34" s="6" t="s">
        <v>126</v>
      </c>
      <c r="G34" s="5" t="s">
        <v>115</v>
      </c>
      <c r="H34" s="5" t="s">
        <v>35</v>
      </c>
      <c r="I34" s="5">
        <v>2.0</v>
      </c>
      <c r="J34" s="5" t="s">
        <v>52</v>
      </c>
      <c r="K34" s="6" t="str">
        <f t="array" ref="K34">IFERROR(INDEX('Team Split'!$B$5:$B$8,MATCH(J34,'Team Split'!$A$5:$A$8,0))&amp;"","")</f>
        <v/>
      </c>
      <c r="L34" s="5">
        <v>2.0</v>
      </c>
      <c r="M34" s="5" t="s">
        <v>37</v>
      </c>
      <c r="N34" s="5" t="str">
        <f t="array" ref="N34">IFERROR(INDEX('Team Split'!$F$5:$F$8,MATCH(J34,'Team Split'!$A$5:$A$8,0))&amp;"","")</f>
        <v>B</v>
      </c>
    </row>
    <row r="35" ht="44.25" customHeight="1">
      <c r="A35" s="5">
        <v>34.0</v>
      </c>
      <c r="B35" s="6" t="s">
        <v>111</v>
      </c>
      <c r="C35" s="5">
        <v>29.0</v>
      </c>
      <c r="D35" s="6" t="s">
        <v>72</v>
      </c>
      <c r="E35" s="6" t="s">
        <v>127</v>
      </c>
      <c r="F35" s="6" t="s">
        <v>128</v>
      </c>
      <c r="G35" s="5" t="s">
        <v>115</v>
      </c>
      <c r="H35" s="5" t="s">
        <v>35</v>
      </c>
      <c r="I35" s="5">
        <v>2.0</v>
      </c>
      <c r="J35" s="5" t="s">
        <v>52</v>
      </c>
      <c r="K35" s="6" t="str">
        <f t="array" ref="K35">IFERROR(INDEX('Team Split'!$B$5:$B$8,MATCH(J35,'Team Split'!$A$5:$A$8,0))&amp;"","")</f>
        <v/>
      </c>
      <c r="L35" s="5">
        <v>1.0</v>
      </c>
      <c r="M35" s="5" t="s">
        <v>37</v>
      </c>
      <c r="N35" s="5" t="str">
        <f t="array" ref="N35">IFERROR(INDEX('Team Split'!$F$5:$F$8,MATCH(J35,'Team Split'!$A$5:$A$8,0))&amp;"","")</f>
        <v>B</v>
      </c>
    </row>
    <row r="36" ht="30.75" customHeight="1">
      <c r="A36" s="5">
        <v>35.0</v>
      </c>
      <c r="B36" s="6" t="s">
        <v>111</v>
      </c>
      <c r="C36" s="5" t="s">
        <v>129</v>
      </c>
      <c r="D36" s="6" t="s">
        <v>72</v>
      </c>
      <c r="E36" s="6" t="s">
        <v>130</v>
      </c>
      <c r="F36" s="6" t="s">
        <v>131</v>
      </c>
      <c r="G36" s="5" t="s">
        <v>115</v>
      </c>
      <c r="H36" s="5" t="s">
        <v>35</v>
      </c>
      <c r="I36" s="5">
        <v>3.0</v>
      </c>
      <c r="J36" s="5" t="s">
        <v>52</v>
      </c>
      <c r="K36" s="6" t="str">
        <f t="array" ref="K36">IFERROR(INDEX('Team Split'!$B$5:$B$8,MATCH(J36,'Team Split'!$A$5:$A$8,0))&amp;"","")</f>
        <v/>
      </c>
      <c r="L36" s="5">
        <v>2.0</v>
      </c>
      <c r="M36" s="5" t="s">
        <v>37</v>
      </c>
      <c r="N36" s="5" t="str">
        <f t="array" ref="N36">IFERROR(INDEX('Team Split'!$F$5:$F$8,MATCH(J36,'Team Split'!$A$5:$A$8,0))&amp;"","")</f>
        <v>B</v>
      </c>
    </row>
    <row r="37" ht="30.75" customHeight="1">
      <c r="A37" s="5">
        <v>36.0</v>
      </c>
      <c r="B37" s="6" t="s">
        <v>111</v>
      </c>
      <c r="C37" s="5">
        <v>31.0</v>
      </c>
      <c r="D37" s="6" t="s">
        <v>72</v>
      </c>
      <c r="E37" s="6" t="s">
        <v>132</v>
      </c>
      <c r="F37" s="6" t="s">
        <v>133</v>
      </c>
      <c r="G37" s="5" t="s">
        <v>115</v>
      </c>
      <c r="H37" s="5" t="s">
        <v>35</v>
      </c>
      <c r="I37" s="5">
        <v>3.0</v>
      </c>
      <c r="J37" s="5" t="s">
        <v>52</v>
      </c>
      <c r="K37" s="6" t="str">
        <f t="array" ref="K37">IFERROR(INDEX('Team Split'!$B$5:$B$8,MATCH(J37,'Team Split'!$A$5:$A$8,0))&amp;"","")</f>
        <v/>
      </c>
      <c r="L37" s="5">
        <v>1.0</v>
      </c>
      <c r="M37" s="5" t="s">
        <v>37</v>
      </c>
      <c r="N37" s="5" t="str">
        <f t="array" ref="N37">IFERROR(INDEX('Team Split'!$F$5:$F$8,MATCH(J37,'Team Split'!$A$5:$A$8,0))&amp;"","")</f>
        <v>B</v>
      </c>
    </row>
    <row r="38" ht="17.25" customHeight="1">
      <c r="A38" s="5">
        <v>37.0</v>
      </c>
      <c r="B38" s="6" t="s">
        <v>111</v>
      </c>
      <c r="C38" s="5">
        <v>31.0</v>
      </c>
      <c r="D38" s="6" t="s">
        <v>72</v>
      </c>
      <c r="E38" s="6" t="s">
        <v>134</v>
      </c>
      <c r="F38" s="6" t="s">
        <v>135</v>
      </c>
      <c r="G38" s="5" t="s">
        <v>115</v>
      </c>
      <c r="H38" s="5" t="s">
        <v>110</v>
      </c>
      <c r="I38" s="5">
        <v>3.0</v>
      </c>
      <c r="J38" s="5" t="s">
        <v>52</v>
      </c>
      <c r="K38" s="6" t="str">
        <f t="array" ref="K38">IFERROR(INDEX('Team Split'!$B$5:$B$8,MATCH(J38,'Team Split'!$A$5:$A$8,0))&amp;"","")</f>
        <v/>
      </c>
      <c r="L38" s="5">
        <v>1.0</v>
      </c>
      <c r="M38" s="5" t="s">
        <v>37</v>
      </c>
      <c r="N38" s="5" t="str">
        <f t="array" ref="N38">IFERROR(INDEX('Team Split'!$F$5:$F$8,MATCH(J38,'Team Split'!$A$5:$A$8,0))&amp;"","")</f>
        <v>B</v>
      </c>
    </row>
    <row r="39" ht="44.25" customHeight="1">
      <c r="A39" s="5">
        <v>38.0</v>
      </c>
      <c r="B39" s="6" t="s">
        <v>111</v>
      </c>
      <c r="C39" s="5">
        <v>32.0</v>
      </c>
      <c r="D39" s="6" t="s">
        <v>112</v>
      </c>
      <c r="E39" s="6" t="s">
        <v>136</v>
      </c>
      <c r="F39" s="6" t="s">
        <v>137</v>
      </c>
      <c r="G39" s="5" t="s">
        <v>115</v>
      </c>
      <c r="H39" s="5" t="s">
        <v>110</v>
      </c>
      <c r="I39" s="5">
        <v>3.0</v>
      </c>
      <c r="J39" s="5" t="s">
        <v>52</v>
      </c>
      <c r="K39" s="6" t="str">
        <f t="array" ref="K39">IFERROR(INDEX('Team Split'!$B$5:$B$8,MATCH(J39,'Team Split'!$A$5:$A$8,0))&amp;"","")</f>
        <v/>
      </c>
      <c r="L39" s="5">
        <v>2.0</v>
      </c>
      <c r="M39" s="5" t="s">
        <v>37</v>
      </c>
      <c r="N39" s="5" t="str">
        <f t="array" ref="N39">IFERROR(INDEX('Team Split'!$F$5:$F$8,MATCH(J39,'Team Split'!$A$5:$A$8,0))&amp;"","")</f>
        <v>B</v>
      </c>
    </row>
    <row r="40" ht="44.25" customHeight="1">
      <c r="A40" s="5">
        <v>39.0</v>
      </c>
      <c r="B40" s="6" t="s">
        <v>138</v>
      </c>
      <c r="C40" s="5" t="s">
        <v>139</v>
      </c>
      <c r="D40" s="6" t="s">
        <v>72</v>
      </c>
      <c r="E40" s="6" t="s">
        <v>140</v>
      </c>
      <c r="F40" s="6" t="s">
        <v>141</v>
      </c>
      <c r="G40" s="5" t="s">
        <v>62</v>
      </c>
      <c r="H40" s="5" t="s">
        <v>35</v>
      </c>
      <c r="I40" s="5">
        <v>1.0</v>
      </c>
      <c r="J40" s="5" t="s">
        <v>36</v>
      </c>
      <c r="K40" s="6" t="str">
        <f t="array" ref="K40">IFERROR(INDEX('Team Split'!$B$5:$B$8,MATCH(J40,'Team Split'!$A$5:$A$8,0))&amp;"","")</f>
        <v/>
      </c>
      <c r="L40" s="5">
        <v>2.0</v>
      </c>
      <c r="M40" s="5" t="s">
        <v>37</v>
      </c>
      <c r="N40" s="5" t="str">
        <f t="array" ref="N40">IFERROR(INDEX('Team Split'!$F$5:$F$8,MATCH(J40,'Team Split'!$A$5:$A$8,0))&amp;"","")</f>
        <v>C</v>
      </c>
    </row>
    <row r="41" ht="44.25" customHeight="1">
      <c r="A41" s="5">
        <v>40.0</v>
      </c>
      <c r="B41" s="6" t="s">
        <v>138</v>
      </c>
      <c r="C41" s="5" t="s">
        <v>142</v>
      </c>
      <c r="D41" s="6" t="s">
        <v>72</v>
      </c>
      <c r="E41" s="6" t="s">
        <v>143</v>
      </c>
      <c r="F41" s="6" t="s">
        <v>144</v>
      </c>
      <c r="G41" s="5" t="s">
        <v>62</v>
      </c>
      <c r="H41" s="5" t="s">
        <v>35</v>
      </c>
      <c r="I41" s="5">
        <v>2.0</v>
      </c>
      <c r="J41" s="5" t="s">
        <v>52</v>
      </c>
      <c r="K41" s="6" t="str">
        <f t="array" ref="K41">IFERROR(INDEX('Team Split'!$B$5:$B$8,MATCH(J41,'Team Split'!$A$5:$A$8,0))&amp;"","")</f>
        <v/>
      </c>
      <c r="L41" s="5">
        <v>3.0</v>
      </c>
      <c r="M41" s="5" t="s">
        <v>37</v>
      </c>
      <c r="N41" s="5" t="str">
        <f t="array" ref="N41">IFERROR(INDEX('Team Split'!$F$5:$F$8,MATCH(J41,'Team Split'!$A$5:$A$8,0))&amp;"","")</f>
        <v>B</v>
      </c>
    </row>
    <row r="42" ht="30.75" customHeight="1">
      <c r="A42" s="5">
        <v>41.0</v>
      </c>
      <c r="B42" s="6" t="s">
        <v>138</v>
      </c>
      <c r="C42" s="5" t="s">
        <v>145</v>
      </c>
      <c r="D42" s="6" t="s">
        <v>146</v>
      </c>
      <c r="E42" s="6" t="s">
        <v>147</v>
      </c>
      <c r="F42" s="6" t="s">
        <v>148</v>
      </c>
      <c r="G42" s="5" t="s">
        <v>62</v>
      </c>
      <c r="H42" s="5" t="s">
        <v>35</v>
      </c>
      <c r="I42" s="5">
        <v>1.0</v>
      </c>
      <c r="J42" s="5" t="s">
        <v>149</v>
      </c>
      <c r="K42" s="6" t="str">
        <f t="array" ref="K42">IFERROR(INDEX('Team Split'!$B$5:$B$8,MATCH(J42,'Team Split'!$A$5:$A$8,0))&amp;"","")</f>
        <v/>
      </c>
      <c r="L42" s="5">
        <v>1.0</v>
      </c>
      <c r="M42" s="5" t="s">
        <v>37</v>
      </c>
      <c r="N42" s="5" t="str">
        <f t="array" ref="N42">IFERROR(INDEX('Team Split'!$F$5:$F$8,MATCH(J42,'Team Split'!$A$5:$A$8,0))&amp;"","")</f>
        <v>D</v>
      </c>
    </row>
    <row r="43" ht="30.75" customHeight="1">
      <c r="A43" s="5">
        <v>42.0</v>
      </c>
      <c r="B43" s="6" t="s">
        <v>138</v>
      </c>
      <c r="C43" s="5" t="s">
        <v>150</v>
      </c>
      <c r="D43" s="6" t="s">
        <v>146</v>
      </c>
      <c r="E43" s="6" t="s">
        <v>151</v>
      </c>
      <c r="F43" s="6" t="s">
        <v>152</v>
      </c>
      <c r="G43" s="5" t="s">
        <v>62</v>
      </c>
      <c r="H43" s="5" t="s">
        <v>35</v>
      </c>
      <c r="I43" s="5">
        <v>1.0</v>
      </c>
      <c r="J43" s="5" t="s">
        <v>149</v>
      </c>
      <c r="K43" s="6" t="str">
        <f t="array" ref="K43">IFERROR(INDEX('Team Split'!$B$5:$B$8,MATCH(J43,'Team Split'!$A$5:$A$8,0))&amp;"","")</f>
        <v/>
      </c>
      <c r="L43" s="5">
        <v>2.0</v>
      </c>
      <c r="M43" s="5" t="s">
        <v>37</v>
      </c>
      <c r="N43" s="5" t="str">
        <f t="array" ref="N43">IFERROR(INDEX('Team Split'!$F$5:$F$8,MATCH(J43,'Team Split'!$A$5:$A$8,0))&amp;"","")</f>
        <v>D</v>
      </c>
    </row>
    <row r="44" ht="30.75" customHeight="1">
      <c r="A44" s="5">
        <v>43.0</v>
      </c>
      <c r="B44" s="6" t="s">
        <v>138</v>
      </c>
      <c r="C44" s="5">
        <v>10.0</v>
      </c>
      <c r="D44" s="6" t="s">
        <v>146</v>
      </c>
      <c r="E44" s="6" t="s">
        <v>153</v>
      </c>
      <c r="F44" s="6" t="s">
        <v>154</v>
      </c>
      <c r="G44" s="5" t="s">
        <v>62</v>
      </c>
      <c r="H44" s="5" t="s">
        <v>35</v>
      </c>
      <c r="I44" s="5">
        <v>1.0</v>
      </c>
      <c r="J44" s="5" t="s">
        <v>149</v>
      </c>
      <c r="K44" s="6" t="str">
        <f t="array" ref="K44">IFERROR(INDEX('Team Split'!$B$5:$B$8,MATCH(J44,'Team Split'!$A$5:$A$8,0))&amp;"","")</f>
        <v/>
      </c>
      <c r="L44" s="5">
        <v>1.0</v>
      </c>
      <c r="M44" s="5" t="s">
        <v>37</v>
      </c>
      <c r="N44" s="5" t="str">
        <f t="array" ref="N44">IFERROR(INDEX('Team Split'!$F$5:$F$8,MATCH(J44,'Team Split'!$A$5:$A$8,0))&amp;"","")</f>
        <v>D</v>
      </c>
    </row>
    <row r="45" ht="30.75" customHeight="1">
      <c r="A45" s="5">
        <v>44.0</v>
      </c>
      <c r="B45" s="6" t="s">
        <v>138</v>
      </c>
      <c r="C45" s="5">
        <v>10.0</v>
      </c>
      <c r="D45" s="6" t="s">
        <v>31</v>
      </c>
      <c r="E45" s="6" t="s">
        <v>155</v>
      </c>
      <c r="F45" s="6" t="s">
        <v>156</v>
      </c>
      <c r="G45" s="5" t="s">
        <v>62</v>
      </c>
      <c r="H45" s="5" t="s">
        <v>35</v>
      </c>
      <c r="I45" s="5">
        <v>1.0</v>
      </c>
      <c r="J45" s="5" t="s">
        <v>149</v>
      </c>
      <c r="K45" s="6" t="str">
        <f t="array" ref="K45">IFERROR(INDEX('Team Split'!$B$5:$B$8,MATCH(J45,'Team Split'!$A$5:$A$8,0))&amp;"","")</f>
        <v/>
      </c>
      <c r="L45" s="5">
        <v>2.0</v>
      </c>
      <c r="M45" s="5" t="s">
        <v>37</v>
      </c>
      <c r="N45" s="5" t="str">
        <f t="array" ref="N45">IFERROR(INDEX('Team Split'!$F$5:$F$8,MATCH(J45,'Team Split'!$A$5:$A$8,0))&amp;"","")</f>
        <v>D</v>
      </c>
    </row>
    <row r="46" ht="30.75" customHeight="1">
      <c r="A46" s="5">
        <v>45.0</v>
      </c>
      <c r="B46" s="6" t="s">
        <v>138</v>
      </c>
      <c r="C46" s="5">
        <v>41.0</v>
      </c>
      <c r="D46" s="6" t="s">
        <v>157</v>
      </c>
      <c r="E46" s="6" t="s">
        <v>158</v>
      </c>
      <c r="F46" s="6" t="s">
        <v>159</v>
      </c>
      <c r="G46" s="5" t="s">
        <v>62</v>
      </c>
      <c r="H46" s="5" t="s">
        <v>35</v>
      </c>
      <c r="I46" s="5">
        <v>1.0</v>
      </c>
      <c r="J46" s="5" t="s">
        <v>149</v>
      </c>
      <c r="K46" s="6" t="str">
        <f t="array" ref="K46">IFERROR(INDEX('Team Split'!$B$5:$B$8,MATCH(J46,'Team Split'!$A$5:$A$8,0))&amp;"","")</f>
        <v/>
      </c>
      <c r="L46" s="5">
        <v>2.0</v>
      </c>
      <c r="M46" s="5" t="s">
        <v>37</v>
      </c>
      <c r="N46" s="5" t="str">
        <f t="array" ref="N46">IFERROR(INDEX('Team Split'!$F$5:$F$8,MATCH(J46,'Team Split'!$A$5:$A$8,0))&amp;"","")</f>
        <v>D</v>
      </c>
    </row>
    <row r="47" ht="30.75" customHeight="1">
      <c r="A47" s="5">
        <v>46.0</v>
      </c>
      <c r="B47" s="6" t="s">
        <v>138</v>
      </c>
      <c r="C47" s="5">
        <v>45.0</v>
      </c>
      <c r="D47" s="6" t="s">
        <v>146</v>
      </c>
      <c r="E47" s="6" t="s">
        <v>160</v>
      </c>
      <c r="F47" s="6" t="s">
        <v>161</v>
      </c>
      <c r="G47" s="5" t="s">
        <v>62</v>
      </c>
      <c r="H47" s="5" t="s">
        <v>35</v>
      </c>
      <c r="I47" s="5">
        <v>1.0</v>
      </c>
      <c r="J47" s="5" t="s">
        <v>149</v>
      </c>
      <c r="K47" s="6" t="str">
        <f t="array" ref="K47">IFERROR(INDEX('Team Split'!$B$5:$B$8,MATCH(J47,'Team Split'!$A$5:$A$8,0))&amp;"","")</f>
        <v/>
      </c>
      <c r="L47" s="5">
        <v>1.0</v>
      </c>
      <c r="M47" s="5" t="s">
        <v>37</v>
      </c>
      <c r="N47" s="5" t="str">
        <f t="array" ref="N47">IFERROR(INDEX('Team Split'!$F$5:$F$8,MATCH(J47,'Team Split'!$A$5:$A$8,0))&amp;"","")</f>
        <v>D</v>
      </c>
    </row>
    <row r="48" ht="44.25" customHeight="1">
      <c r="A48" s="5">
        <v>47.0</v>
      </c>
      <c r="B48" s="6" t="s">
        <v>138</v>
      </c>
      <c r="C48" s="5">
        <v>10.0</v>
      </c>
      <c r="D48" s="6" t="s">
        <v>162</v>
      </c>
      <c r="E48" s="6" t="s">
        <v>163</v>
      </c>
      <c r="F48" s="6" t="s">
        <v>164</v>
      </c>
      <c r="G48" s="5" t="s">
        <v>62</v>
      </c>
      <c r="H48" s="5" t="s">
        <v>35</v>
      </c>
      <c r="I48" s="5">
        <v>1.0</v>
      </c>
      <c r="J48" s="5" t="s">
        <v>149</v>
      </c>
      <c r="K48" s="6" t="str">
        <f t="array" ref="K48">IFERROR(INDEX('Team Split'!$B$5:$B$8,MATCH(J48,'Team Split'!$A$5:$A$8,0))&amp;"","")</f>
        <v/>
      </c>
      <c r="L48" s="5">
        <v>2.0</v>
      </c>
      <c r="M48" s="5" t="s">
        <v>37</v>
      </c>
      <c r="N48" s="5" t="str">
        <f t="array" ref="N48">IFERROR(INDEX('Team Split'!$F$5:$F$8,MATCH(J48,'Team Split'!$A$5:$A$8,0))&amp;"","")</f>
        <v>D</v>
      </c>
    </row>
    <row r="49" ht="44.25" customHeight="1">
      <c r="A49" s="5">
        <v>48.0</v>
      </c>
      <c r="B49" s="6" t="s">
        <v>138</v>
      </c>
      <c r="C49" s="5" t="s">
        <v>165</v>
      </c>
      <c r="D49" s="6" t="s">
        <v>162</v>
      </c>
      <c r="E49" s="6" t="s">
        <v>166</v>
      </c>
      <c r="F49" s="6" t="s">
        <v>167</v>
      </c>
      <c r="G49" s="5" t="s">
        <v>62</v>
      </c>
      <c r="H49" s="5" t="s">
        <v>35</v>
      </c>
      <c r="I49" s="5">
        <v>2.0</v>
      </c>
      <c r="J49" s="5" t="s">
        <v>149</v>
      </c>
      <c r="K49" s="6" t="str">
        <f t="array" ref="K49">IFERROR(INDEX('Team Split'!$B$5:$B$8,MATCH(J49,'Team Split'!$A$5:$A$8,0))&amp;"","")</f>
        <v/>
      </c>
      <c r="L49" s="5">
        <v>3.0</v>
      </c>
      <c r="M49" s="5" t="s">
        <v>37</v>
      </c>
      <c r="N49" s="5" t="str">
        <f t="array" ref="N49">IFERROR(INDEX('Team Split'!$F$5:$F$8,MATCH(J49,'Team Split'!$A$5:$A$8,0))&amp;"","")</f>
        <v>D</v>
      </c>
    </row>
    <row r="50" ht="44.25" customHeight="1">
      <c r="A50" s="5">
        <v>49.0</v>
      </c>
      <c r="B50" s="6" t="s">
        <v>138</v>
      </c>
      <c r="C50" s="5">
        <v>44.0</v>
      </c>
      <c r="D50" s="6" t="s">
        <v>146</v>
      </c>
      <c r="E50" s="6" t="s">
        <v>168</v>
      </c>
      <c r="F50" s="6" t="s">
        <v>169</v>
      </c>
      <c r="G50" s="5" t="s">
        <v>62</v>
      </c>
      <c r="H50" s="5" t="s">
        <v>35</v>
      </c>
      <c r="I50" s="5">
        <v>2.0</v>
      </c>
      <c r="J50" s="5" t="s">
        <v>149</v>
      </c>
      <c r="K50" s="6" t="str">
        <f t="array" ref="K50">IFERROR(INDEX('Team Split'!$B$5:$B$8,MATCH(J50,'Team Split'!$A$5:$A$8,0))&amp;"","")</f>
        <v/>
      </c>
      <c r="L50" s="5">
        <v>1.0</v>
      </c>
      <c r="M50" s="5" t="s">
        <v>37</v>
      </c>
      <c r="N50" s="5" t="str">
        <f t="array" ref="N50">IFERROR(INDEX('Team Split'!$F$5:$F$8,MATCH(J50,'Team Split'!$A$5:$A$8,0))&amp;"","")</f>
        <v>D</v>
      </c>
    </row>
    <row r="51" ht="44.25" customHeight="1">
      <c r="A51" s="5">
        <v>50.0</v>
      </c>
      <c r="B51" s="6" t="s">
        <v>138</v>
      </c>
      <c r="C51" s="5">
        <v>44.0</v>
      </c>
      <c r="D51" s="6" t="s">
        <v>146</v>
      </c>
      <c r="E51" s="6" t="s">
        <v>170</v>
      </c>
      <c r="F51" s="6" t="s">
        <v>171</v>
      </c>
      <c r="G51" s="5" t="s">
        <v>62</v>
      </c>
      <c r="H51" s="5" t="s">
        <v>35</v>
      </c>
      <c r="I51" s="5">
        <v>2.0</v>
      </c>
      <c r="J51" s="5" t="s">
        <v>149</v>
      </c>
      <c r="K51" s="6" t="str">
        <f t="array" ref="K51">IFERROR(INDEX('Team Split'!$B$5:$B$8,MATCH(J51,'Team Split'!$A$5:$A$8,0))&amp;"","")</f>
        <v/>
      </c>
      <c r="L51" s="5">
        <v>1.0</v>
      </c>
      <c r="M51" s="5" t="s">
        <v>37</v>
      </c>
      <c r="N51" s="5" t="str">
        <f t="array" ref="N51">IFERROR(INDEX('Team Split'!$F$5:$F$8,MATCH(J51,'Team Split'!$A$5:$A$8,0))&amp;"","")</f>
        <v>D</v>
      </c>
    </row>
    <row r="52" ht="44.25" customHeight="1">
      <c r="A52" s="5">
        <v>51.0</v>
      </c>
      <c r="B52" s="6" t="s">
        <v>138</v>
      </c>
      <c r="C52" s="5">
        <v>48.0</v>
      </c>
      <c r="D52" s="6" t="s">
        <v>172</v>
      </c>
      <c r="E52" s="6" t="s">
        <v>173</v>
      </c>
      <c r="F52" s="6" t="s">
        <v>174</v>
      </c>
      <c r="G52" s="5" t="s">
        <v>62</v>
      </c>
      <c r="H52" s="5" t="s">
        <v>35</v>
      </c>
      <c r="I52" s="5">
        <v>2.0</v>
      </c>
      <c r="J52" s="5" t="s">
        <v>149</v>
      </c>
      <c r="K52" s="6" t="str">
        <f t="array" ref="K52">IFERROR(INDEX('Team Split'!$B$5:$B$8,MATCH(J52,'Team Split'!$A$5:$A$8,0))&amp;"","")</f>
        <v/>
      </c>
      <c r="L52" s="5">
        <v>1.0</v>
      </c>
      <c r="M52" s="5" t="s">
        <v>37</v>
      </c>
      <c r="N52" s="5" t="str">
        <f t="array" ref="N52">IFERROR(INDEX('Team Split'!$F$5:$F$8,MATCH(J52,'Team Split'!$A$5:$A$8,0))&amp;"","")</f>
        <v>D</v>
      </c>
    </row>
    <row r="53" ht="44.25" customHeight="1">
      <c r="A53" s="5">
        <v>52.0</v>
      </c>
      <c r="B53" s="6" t="s">
        <v>175</v>
      </c>
      <c r="C53" s="5" t="s">
        <v>176</v>
      </c>
      <c r="D53" s="6" t="s">
        <v>72</v>
      </c>
      <c r="E53" s="6" t="s">
        <v>177</v>
      </c>
      <c r="F53" s="6" t="s">
        <v>178</v>
      </c>
      <c r="G53" s="5" t="s">
        <v>65</v>
      </c>
      <c r="H53" s="5" t="s">
        <v>35</v>
      </c>
      <c r="I53" s="5">
        <v>1.0</v>
      </c>
      <c r="J53" s="5" t="s">
        <v>56</v>
      </c>
      <c r="K53" s="6" t="str">
        <f t="array" ref="K53">IFERROR(INDEX('Team Split'!$B$5:$B$8,MATCH(J53,'Team Split'!$A$5:$A$8,0))&amp;"","")</f>
        <v/>
      </c>
      <c r="L53" s="5">
        <v>2.0</v>
      </c>
      <c r="M53" s="5" t="s">
        <v>37</v>
      </c>
      <c r="N53" s="5" t="str">
        <f t="array" ref="N53">IFERROR(INDEX('Team Split'!$F$5:$F$8,MATCH(J53,'Team Split'!$A$5:$A$8,0))&amp;"","")</f>
        <v>A</v>
      </c>
    </row>
    <row r="54" ht="44.25" customHeight="1">
      <c r="A54" s="5">
        <v>53.0</v>
      </c>
      <c r="B54" s="6" t="s">
        <v>175</v>
      </c>
      <c r="C54" s="5">
        <v>52.0</v>
      </c>
      <c r="D54" s="6" t="s">
        <v>72</v>
      </c>
      <c r="E54" s="6" t="s">
        <v>179</v>
      </c>
      <c r="F54" s="6" t="s">
        <v>180</v>
      </c>
      <c r="G54" s="5" t="s">
        <v>65</v>
      </c>
      <c r="H54" s="5" t="s">
        <v>35</v>
      </c>
      <c r="I54" s="5">
        <v>1.0</v>
      </c>
      <c r="J54" s="5" t="s">
        <v>56</v>
      </c>
      <c r="K54" s="6" t="str">
        <f t="array" ref="K54">IFERROR(INDEX('Team Split'!$B$5:$B$8,MATCH(J54,'Team Split'!$A$5:$A$8,0))&amp;"","")</f>
        <v/>
      </c>
      <c r="L54" s="5">
        <v>2.0</v>
      </c>
      <c r="M54" s="5" t="s">
        <v>37</v>
      </c>
      <c r="N54" s="5" t="str">
        <f t="array" ref="N54">IFERROR(INDEX('Team Split'!$F$5:$F$8,MATCH(J54,'Team Split'!$A$5:$A$8,0))&amp;"","")</f>
        <v>A</v>
      </c>
    </row>
    <row r="55" ht="30.75" customHeight="1">
      <c r="A55" s="5">
        <v>54.0</v>
      </c>
      <c r="B55" s="6" t="s">
        <v>175</v>
      </c>
      <c r="C55" s="5" t="s">
        <v>181</v>
      </c>
      <c r="D55" s="6" t="s">
        <v>146</v>
      </c>
      <c r="E55" s="6" t="s">
        <v>182</v>
      </c>
      <c r="F55" s="6" t="s">
        <v>183</v>
      </c>
      <c r="G55" s="5" t="s">
        <v>65</v>
      </c>
      <c r="H55" s="5" t="s">
        <v>35</v>
      </c>
      <c r="I55" s="5">
        <v>1.0</v>
      </c>
      <c r="J55" s="5" t="s">
        <v>56</v>
      </c>
      <c r="K55" s="6" t="str">
        <f t="array" ref="K55">IFERROR(INDEX('Team Split'!$B$5:$B$8,MATCH(J55,'Team Split'!$A$5:$A$8,0))&amp;"","")</f>
        <v/>
      </c>
      <c r="L55" s="5">
        <v>1.0</v>
      </c>
      <c r="M55" s="5" t="s">
        <v>37</v>
      </c>
      <c r="N55" s="5" t="str">
        <f t="array" ref="N55">IFERROR(INDEX('Team Split'!$F$5:$F$8,MATCH(J55,'Team Split'!$A$5:$A$8,0))&amp;"","")</f>
        <v>A</v>
      </c>
    </row>
    <row r="56" ht="30.75" customHeight="1">
      <c r="A56" s="5">
        <v>55.0</v>
      </c>
      <c r="B56" s="6" t="s">
        <v>175</v>
      </c>
      <c r="C56" s="5">
        <v>53.0</v>
      </c>
      <c r="D56" s="6" t="s">
        <v>72</v>
      </c>
      <c r="E56" s="6" t="s">
        <v>184</v>
      </c>
      <c r="F56" s="6" t="s">
        <v>185</v>
      </c>
      <c r="G56" s="5" t="s">
        <v>65</v>
      </c>
      <c r="H56" s="5" t="s">
        <v>35</v>
      </c>
      <c r="I56" s="5">
        <v>1.0</v>
      </c>
      <c r="J56" s="5" t="s">
        <v>56</v>
      </c>
      <c r="K56" s="6" t="str">
        <f t="array" ref="K56">IFERROR(INDEX('Team Split'!$B$5:$B$8,MATCH(J56,'Team Split'!$A$5:$A$8,0))&amp;"","")</f>
        <v/>
      </c>
      <c r="L56" s="5">
        <v>1.0</v>
      </c>
      <c r="M56" s="5" t="s">
        <v>37</v>
      </c>
      <c r="N56" s="5" t="str">
        <f t="array" ref="N56">IFERROR(INDEX('Team Split'!$F$5:$F$8,MATCH(J56,'Team Split'!$A$5:$A$8,0))&amp;"","")</f>
        <v>A</v>
      </c>
    </row>
    <row r="57" ht="30.75" customHeight="1">
      <c r="A57" s="5">
        <v>56.0</v>
      </c>
      <c r="B57" s="6" t="s">
        <v>175</v>
      </c>
      <c r="C57" s="5" t="s">
        <v>186</v>
      </c>
      <c r="D57" s="6" t="s">
        <v>72</v>
      </c>
      <c r="E57" s="6" t="s">
        <v>187</v>
      </c>
      <c r="F57" s="6" t="s">
        <v>188</v>
      </c>
      <c r="G57" s="5" t="s">
        <v>65</v>
      </c>
      <c r="H57" s="5" t="s">
        <v>35</v>
      </c>
      <c r="I57" s="5">
        <v>1.0</v>
      </c>
      <c r="J57" s="5" t="s">
        <v>149</v>
      </c>
      <c r="K57" s="6" t="str">
        <f t="array" ref="K57">IFERROR(INDEX('Team Split'!$B$5:$B$8,MATCH(J57,'Team Split'!$A$5:$A$8,0))&amp;"","")</f>
        <v/>
      </c>
      <c r="L57" s="5">
        <v>2.0</v>
      </c>
      <c r="M57" s="5" t="s">
        <v>37</v>
      </c>
      <c r="N57" s="5" t="str">
        <f t="array" ref="N57">IFERROR(INDEX('Team Split'!$F$5:$F$8,MATCH(J57,'Team Split'!$A$5:$A$8,0))&amp;"","")</f>
        <v>D</v>
      </c>
    </row>
    <row r="58" ht="44.25" customHeight="1">
      <c r="A58" s="5">
        <v>57.0</v>
      </c>
      <c r="B58" s="6" t="s">
        <v>175</v>
      </c>
      <c r="C58" s="5" t="s">
        <v>186</v>
      </c>
      <c r="D58" s="6" t="s">
        <v>72</v>
      </c>
      <c r="E58" s="6" t="s">
        <v>189</v>
      </c>
      <c r="F58" s="6" t="s">
        <v>190</v>
      </c>
      <c r="G58" s="5" t="s">
        <v>65</v>
      </c>
      <c r="H58" s="5" t="s">
        <v>35</v>
      </c>
      <c r="I58" s="5">
        <v>1.0</v>
      </c>
      <c r="J58" s="5" t="s">
        <v>149</v>
      </c>
      <c r="K58" s="6" t="str">
        <f t="array" ref="K58">IFERROR(INDEX('Team Split'!$B$5:$B$8,MATCH(J58,'Team Split'!$A$5:$A$8,0))&amp;"","")</f>
        <v/>
      </c>
      <c r="L58" s="5">
        <v>2.0</v>
      </c>
      <c r="M58" s="5" t="s">
        <v>37</v>
      </c>
      <c r="N58" s="5" t="str">
        <f t="array" ref="N58">IFERROR(INDEX('Team Split'!$F$5:$F$8,MATCH(J58,'Team Split'!$A$5:$A$8,0))&amp;"","")</f>
        <v>D</v>
      </c>
    </row>
    <row r="59" ht="30.75" customHeight="1">
      <c r="A59" s="5">
        <v>58.0</v>
      </c>
      <c r="B59" s="6" t="s">
        <v>175</v>
      </c>
      <c r="C59" s="5" t="s">
        <v>191</v>
      </c>
      <c r="D59" s="6" t="s">
        <v>146</v>
      </c>
      <c r="E59" s="6" t="s">
        <v>192</v>
      </c>
      <c r="F59" s="6" t="s">
        <v>193</v>
      </c>
      <c r="G59" s="5" t="s">
        <v>65</v>
      </c>
      <c r="H59" s="5" t="s">
        <v>35</v>
      </c>
      <c r="I59" s="5">
        <v>2.0</v>
      </c>
      <c r="J59" s="5" t="s">
        <v>149</v>
      </c>
      <c r="K59" s="6" t="str">
        <f t="array" ref="K59">IFERROR(INDEX('Team Split'!$B$5:$B$8,MATCH(J59,'Team Split'!$A$5:$A$8,0))&amp;"","")</f>
        <v/>
      </c>
      <c r="L59" s="5">
        <v>2.0</v>
      </c>
      <c r="M59" s="5" t="s">
        <v>37</v>
      </c>
      <c r="N59" s="5" t="str">
        <f t="array" ref="N59">IFERROR(INDEX('Team Split'!$F$5:$F$8,MATCH(J59,'Team Split'!$A$5:$A$8,0))&amp;"","")</f>
        <v>D</v>
      </c>
    </row>
    <row r="60" ht="30.75" customHeight="1">
      <c r="A60" s="5">
        <v>59.0</v>
      </c>
      <c r="B60" s="6" t="s">
        <v>194</v>
      </c>
      <c r="C60" s="5">
        <v>12.0</v>
      </c>
      <c r="D60" s="6" t="s">
        <v>146</v>
      </c>
      <c r="E60" s="6" t="s">
        <v>195</v>
      </c>
      <c r="F60" s="6" t="s">
        <v>196</v>
      </c>
      <c r="G60" s="5" t="s">
        <v>65</v>
      </c>
      <c r="H60" s="5" t="s">
        <v>35</v>
      </c>
      <c r="I60" s="5">
        <v>1.0</v>
      </c>
      <c r="J60" s="5" t="s">
        <v>36</v>
      </c>
      <c r="K60" s="6" t="str">
        <f t="array" ref="K60">IFERROR(INDEX('Team Split'!$B$5:$B$8,MATCH(J60,'Team Split'!$A$5:$A$8,0))&amp;"","")</f>
        <v/>
      </c>
      <c r="L60" s="5">
        <v>1.0</v>
      </c>
      <c r="M60" s="5" t="s">
        <v>37</v>
      </c>
      <c r="N60" s="5" t="str">
        <f t="array" ref="N60">IFERROR(INDEX('Team Split'!$F$5:$F$8,MATCH(J60,'Team Split'!$A$5:$A$8,0))&amp;"","")</f>
        <v>C</v>
      </c>
    </row>
    <row r="61" ht="30.75" customHeight="1">
      <c r="A61" s="5">
        <v>60.0</v>
      </c>
      <c r="B61" s="6" t="s">
        <v>194</v>
      </c>
      <c r="C61" s="5" t="s">
        <v>197</v>
      </c>
      <c r="D61" s="6" t="s">
        <v>72</v>
      </c>
      <c r="E61" s="6" t="s">
        <v>198</v>
      </c>
      <c r="F61" s="6" t="s">
        <v>199</v>
      </c>
      <c r="G61" s="5" t="s">
        <v>55</v>
      </c>
      <c r="H61" s="5" t="s">
        <v>35</v>
      </c>
      <c r="I61" s="5">
        <v>1.0</v>
      </c>
      <c r="J61" s="5" t="s">
        <v>56</v>
      </c>
      <c r="K61" s="6" t="str">
        <f t="array" ref="K61">IFERROR(INDEX('Team Split'!$B$5:$B$8,MATCH(J61,'Team Split'!$A$5:$A$8,0))&amp;"","")</f>
        <v/>
      </c>
      <c r="L61" s="5">
        <v>2.0</v>
      </c>
      <c r="M61" s="5" t="s">
        <v>37</v>
      </c>
      <c r="N61" s="5" t="str">
        <f t="array" ref="N61">IFERROR(INDEX('Team Split'!$F$5:$F$8,MATCH(J61,'Team Split'!$A$5:$A$8,0))&amp;"","")</f>
        <v>A</v>
      </c>
    </row>
    <row r="62" ht="30.75" customHeight="1">
      <c r="A62" s="5">
        <v>61.0</v>
      </c>
      <c r="B62" s="6" t="s">
        <v>194</v>
      </c>
      <c r="C62" s="5" t="s">
        <v>200</v>
      </c>
      <c r="D62" s="6" t="s">
        <v>72</v>
      </c>
      <c r="E62" s="6" t="s">
        <v>201</v>
      </c>
      <c r="F62" s="6" t="s">
        <v>202</v>
      </c>
      <c r="G62" s="5" t="s">
        <v>55</v>
      </c>
      <c r="H62" s="5" t="s">
        <v>35</v>
      </c>
      <c r="I62" s="5">
        <v>2.0</v>
      </c>
      <c r="J62" s="5" t="s">
        <v>56</v>
      </c>
      <c r="K62" s="6" t="str">
        <f t="array" ref="K62">IFERROR(INDEX('Team Split'!$B$5:$B$8,MATCH(J62,'Team Split'!$A$5:$A$8,0))&amp;"","")</f>
        <v/>
      </c>
      <c r="L62" s="5">
        <v>3.0</v>
      </c>
      <c r="M62" s="5" t="s">
        <v>37</v>
      </c>
      <c r="N62" s="5" t="str">
        <f t="array" ref="N62">IFERROR(INDEX('Team Split'!$F$5:$F$8,MATCH(J62,'Team Split'!$A$5:$A$8,0))&amp;"","")</f>
        <v>A</v>
      </c>
    </row>
    <row r="63" ht="44.25" customHeight="1">
      <c r="A63" s="5">
        <v>62.0</v>
      </c>
      <c r="B63" s="6" t="s">
        <v>194</v>
      </c>
      <c r="C63" s="5" t="s">
        <v>203</v>
      </c>
      <c r="D63" s="6" t="s">
        <v>72</v>
      </c>
      <c r="E63" s="6" t="s">
        <v>204</v>
      </c>
      <c r="F63" s="6" t="s">
        <v>205</v>
      </c>
      <c r="G63" s="5" t="s">
        <v>55</v>
      </c>
      <c r="H63" s="5" t="s">
        <v>35</v>
      </c>
      <c r="I63" s="5">
        <v>2.0</v>
      </c>
      <c r="J63" s="5" t="s">
        <v>56</v>
      </c>
      <c r="K63" s="6" t="str">
        <f t="array" ref="K63">IFERROR(INDEX('Team Split'!$B$5:$B$8,MATCH(J63,'Team Split'!$A$5:$A$8,0))&amp;"","")</f>
        <v/>
      </c>
      <c r="L63" s="5">
        <v>2.0</v>
      </c>
      <c r="M63" s="5" t="s">
        <v>37</v>
      </c>
      <c r="N63" s="5" t="str">
        <f t="array" ref="N63">IFERROR(INDEX('Team Split'!$F$5:$F$8,MATCH(J63,'Team Split'!$A$5:$A$8,0))&amp;"","")</f>
        <v>A</v>
      </c>
    </row>
    <row r="64" ht="30.75" customHeight="1">
      <c r="A64" s="5">
        <v>63.0</v>
      </c>
      <c r="B64" s="6" t="s">
        <v>194</v>
      </c>
      <c r="C64" s="5">
        <v>61.0</v>
      </c>
      <c r="D64" s="6" t="s">
        <v>72</v>
      </c>
      <c r="E64" s="6" t="s">
        <v>206</v>
      </c>
      <c r="F64" s="6" t="s">
        <v>207</v>
      </c>
      <c r="G64" s="5" t="s">
        <v>55</v>
      </c>
      <c r="H64" s="5" t="s">
        <v>35</v>
      </c>
      <c r="I64" s="5">
        <v>2.0</v>
      </c>
      <c r="J64" s="5" t="s">
        <v>56</v>
      </c>
      <c r="K64" s="6" t="str">
        <f t="array" ref="K64">IFERROR(INDEX('Team Split'!$B$5:$B$8,MATCH(J64,'Team Split'!$A$5:$A$8,0))&amp;"","")</f>
        <v/>
      </c>
      <c r="L64" s="5">
        <v>1.0</v>
      </c>
      <c r="M64" s="5" t="s">
        <v>37</v>
      </c>
      <c r="N64" s="5" t="str">
        <f t="array" ref="N64">IFERROR(INDEX('Team Split'!$F$5:$F$8,MATCH(J64,'Team Split'!$A$5:$A$8,0))&amp;"","")</f>
        <v>A</v>
      </c>
    </row>
    <row r="65" ht="30.75" customHeight="1">
      <c r="A65" s="5">
        <v>64.0</v>
      </c>
      <c r="B65" s="6" t="s">
        <v>194</v>
      </c>
      <c r="C65" s="5" t="s">
        <v>208</v>
      </c>
      <c r="D65" s="6" t="s">
        <v>146</v>
      </c>
      <c r="E65" s="6" t="s">
        <v>209</v>
      </c>
      <c r="F65" s="6" t="s">
        <v>210</v>
      </c>
      <c r="G65" s="5" t="s">
        <v>55</v>
      </c>
      <c r="H65" s="5" t="s">
        <v>35</v>
      </c>
      <c r="I65" s="5">
        <v>2.0</v>
      </c>
      <c r="J65" s="5" t="s">
        <v>56</v>
      </c>
      <c r="K65" s="6" t="str">
        <f t="array" ref="K65">IFERROR(INDEX('Team Split'!$B$5:$B$8,MATCH(J65,'Team Split'!$A$5:$A$8,0))&amp;"","")</f>
        <v/>
      </c>
      <c r="L65" s="5">
        <v>1.0</v>
      </c>
      <c r="M65" s="5" t="s">
        <v>37</v>
      </c>
      <c r="N65" s="5" t="str">
        <f t="array" ref="N65">IFERROR(INDEX('Team Split'!$F$5:$F$8,MATCH(J65,'Team Split'!$A$5:$A$8,0))&amp;"","")</f>
        <v>A</v>
      </c>
    </row>
    <row r="66" ht="30.75" customHeight="1">
      <c r="A66" s="5">
        <v>65.0</v>
      </c>
      <c r="B66" s="6" t="s">
        <v>194</v>
      </c>
      <c r="C66" s="5">
        <v>64.0</v>
      </c>
      <c r="D66" s="6" t="s">
        <v>146</v>
      </c>
      <c r="E66" s="6" t="s">
        <v>211</v>
      </c>
      <c r="F66" s="6" t="s">
        <v>212</v>
      </c>
      <c r="G66" s="5" t="s">
        <v>55</v>
      </c>
      <c r="H66" s="5" t="s">
        <v>35</v>
      </c>
      <c r="I66" s="5">
        <v>2.0</v>
      </c>
      <c r="J66" s="5" t="s">
        <v>56</v>
      </c>
      <c r="K66" s="6" t="str">
        <f t="array" ref="K66">IFERROR(INDEX('Team Split'!$B$5:$B$8,MATCH(J66,'Team Split'!$A$5:$A$8,0))&amp;"","")</f>
        <v/>
      </c>
      <c r="L66" s="5">
        <v>1.0</v>
      </c>
      <c r="M66" s="5" t="s">
        <v>37</v>
      </c>
      <c r="N66" s="5" t="str">
        <f t="array" ref="N66">IFERROR(INDEX('Team Split'!$F$5:$F$8,MATCH(J66,'Team Split'!$A$5:$A$8,0))&amp;"","")</f>
        <v>A</v>
      </c>
    </row>
    <row r="67" ht="57.75" customHeight="1">
      <c r="A67" s="5">
        <v>66.0</v>
      </c>
      <c r="B67" s="6" t="s">
        <v>194</v>
      </c>
      <c r="C67" s="5" t="s">
        <v>213</v>
      </c>
      <c r="D67" s="6" t="s">
        <v>72</v>
      </c>
      <c r="E67" s="6" t="s">
        <v>214</v>
      </c>
      <c r="F67" s="6" t="s">
        <v>215</v>
      </c>
      <c r="G67" s="5" t="s">
        <v>65</v>
      </c>
      <c r="H67" s="5" t="s">
        <v>35</v>
      </c>
      <c r="I67" s="5">
        <v>2.0</v>
      </c>
      <c r="J67" s="5" t="s">
        <v>56</v>
      </c>
      <c r="K67" s="6" t="str">
        <f t="array" ref="K67">IFERROR(INDEX('Team Split'!$B$5:$B$8,MATCH(J67,'Team Split'!$A$5:$A$8,0))&amp;"","")</f>
        <v/>
      </c>
      <c r="L67" s="5">
        <v>3.0</v>
      </c>
      <c r="M67" s="5" t="s">
        <v>37</v>
      </c>
      <c r="N67" s="5" t="str">
        <f t="array" ref="N67">IFERROR(INDEX('Team Split'!$F$5:$F$8,MATCH(J67,'Team Split'!$A$5:$A$8,0))&amp;"","")</f>
        <v>A</v>
      </c>
    </row>
    <row r="68" ht="30.75" customHeight="1">
      <c r="A68" s="5">
        <v>67.0</v>
      </c>
      <c r="B68" s="6" t="s">
        <v>194</v>
      </c>
      <c r="C68" s="5" t="s">
        <v>216</v>
      </c>
      <c r="D68" s="6" t="s">
        <v>146</v>
      </c>
      <c r="E68" s="6" t="s">
        <v>217</v>
      </c>
      <c r="F68" s="6" t="s">
        <v>218</v>
      </c>
      <c r="G68" s="5" t="s">
        <v>65</v>
      </c>
      <c r="H68" s="5" t="s">
        <v>35</v>
      </c>
      <c r="I68" s="5">
        <v>2.0</v>
      </c>
      <c r="J68" s="5" t="s">
        <v>36</v>
      </c>
      <c r="K68" s="6" t="str">
        <f t="array" ref="K68">IFERROR(INDEX('Team Split'!$B$5:$B$8,MATCH(J68,'Team Split'!$A$5:$A$8,0))&amp;"","")</f>
        <v/>
      </c>
      <c r="L68" s="5">
        <v>1.0</v>
      </c>
      <c r="M68" s="5" t="s">
        <v>37</v>
      </c>
      <c r="N68" s="5" t="str">
        <f t="array" ref="N68">IFERROR(INDEX('Team Split'!$F$5:$F$8,MATCH(J68,'Team Split'!$A$5:$A$8,0))&amp;"","")</f>
        <v>C</v>
      </c>
    </row>
    <row r="69" ht="30.75" customHeight="1">
      <c r="A69" s="5">
        <v>68.0</v>
      </c>
      <c r="B69" s="6" t="s">
        <v>194</v>
      </c>
      <c r="C69" s="5">
        <v>66.0</v>
      </c>
      <c r="D69" s="6" t="s">
        <v>72</v>
      </c>
      <c r="E69" s="6" t="s">
        <v>219</v>
      </c>
      <c r="F69" s="6" t="s">
        <v>220</v>
      </c>
      <c r="G69" s="5" t="s">
        <v>75</v>
      </c>
      <c r="H69" s="5" t="s">
        <v>110</v>
      </c>
      <c r="I69" s="5">
        <v>3.0</v>
      </c>
      <c r="J69" s="5" t="s">
        <v>149</v>
      </c>
      <c r="K69" s="6" t="str">
        <f t="array" ref="K69">IFERROR(INDEX('Team Split'!$B$5:$B$8,MATCH(J69,'Team Split'!$A$5:$A$8,0))&amp;"","")</f>
        <v/>
      </c>
      <c r="L69" s="5">
        <v>1.0</v>
      </c>
      <c r="M69" s="5" t="s">
        <v>37</v>
      </c>
      <c r="N69" s="5" t="str">
        <f t="array" ref="N69">IFERROR(INDEX('Team Split'!$F$5:$F$8,MATCH(J69,'Team Split'!$A$5:$A$8,0))&amp;"","")</f>
        <v>D</v>
      </c>
    </row>
    <row r="70" ht="44.25" customHeight="1">
      <c r="A70" s="5">
        <v>69.0</v>
      </c>
      <c r="B70" s="6" t="s">
        <v>221</v>
      </c>
      <c r="C70" s="5">
        <v>7.0</v>
      </c>
      <c r="D70" s="6" t="s">
        <v>222</v>
      </c>
      <c r="E70" s="6" t="s">
        <v>223</v>
      </c>
      <c r="F70" s="6" t="s">
        <v>224</v>
      </c>
      <c r="G70" s="5" t="s">
        <v>51</v>
      </c>
      <c r="H70" s="5" t="s">
        <v>35</v>
      </c>
      <c r="I70" s="5">
        <v>1.0</v>
      </c>
      <c r="J70" s="5" t="s">
        <v>52</v>
      </c>
      <c r="K70" s="6" t="str">
        <f t="array" ref="K70">IFERROR(INDEX('Team Split'!$B$5:$B$8,MATCH(J70,'Team Split'!$A$5:$A$8,0))&amp;"","")</f>
        <v/>
      </c>
      <c r="L70" s="5">
        <v>5.0</v>
      </c>
      <c r="M70" s="5" t="s">
        <v>37</v>
      </c>
      <c r="N70" s="5" t="str">
        <f t="array" ref="N70">IFERROR(INDEX('Team Split'!$F$5:$F$8,MATCH(J70,'Team Split'!$A$5:$A$8,0))&amp;"","")</f>
        <v>B</v>
      </c>
    </row>
    <row r="71" ht="44.25" customHeight="1">
      <c r="A71" s="5">
        <v>70.0</v>
      </c>
      <c r="B71" s="6" t="s">
        <v>221</v>
      </c>
      <c r="C71" s="5">
        <v>69.0</v>
      </c>
      <c r="D71" s="6" t="s">
        <v>222</v>
      </c>
      <c r="E71" s="6" t="s">
        <v>225</v>
      </c>
      <c r="F71" s="6" t="s">
        <v>226</v>
      </c>
      <c r="G71" s="5" t="s">
        <v>65</v>
      </c>
      <c r="H71" s="5" t="s">
        <v>35</v>
      </c>
      <c r="I71" s="5">
        <v>2.0</v>
      </c>
      <c r="J71" s="5" t="s">
        <v>52</v>
      </c>
      <c r="K71" s="6" t="str">
        <f t="array" ref="K71">IFERROR(INDEX('Team Split'!$B$5:$B$8,MATCH(J71,'Team Split'!$A$5:$A$8,0))&amp;"","")</f>
        <v/>
      </c>
      <c r="L71" s="5">
        <v>3.0</v>
      </c>
      <c r="M71" s="5" t="s">
        <v>37</v>
      </c>
      <c r="N71" s="5" t="str">
        <f t="array" ref="N71">IFERROR(INDEX('Team Split'!$F$5:$F$8,MATCH(J71,'Team Split'!$A$5:$A$8,0))&amp;"","")</f>
        <v>B</v>
      </c>
    </row>
    <row r="72" ht="30.75" customHeight="1">
      <c r="A72" s="5">
        <v>71.0</v>
      </c>
      <c r="B72" s="6" t="s">
        <v>221</v>
      </c>
      <c r="C72" s="5" t="s">
        <v>227</v>
      </c>
      <c r="D72" s="6" t="s">
        <v>222</v>
      </c>
      <c r="E72" s="6" t="s">
        <v>228</v>
      </c>
      <c r="F72" s="6" t="s">
        <v>229</v>
      </c>
      <c r="G72" s="5" t="s">
        <v>65</v>
      </c>
      <c r="H72" s="5" t="s">
        <v>35</v>
      </c>
      <c r="I72" s="5">
        <v>2.0</v>
      </c>
      <c r="J72" s="5" t="s">
        <v>149</v>
      </c>
      <c r="K72" s="6" t="str">
        <f t="array" ref="K72">IFERROR(INDEX('Team Split'!$B$5:$B$8,MATCH(J72,'Team Split'!$A$5:$A$8,0))&amp;"","")</f>
        <v/>
      </c>
      <c r="L72" s="5">
        <v>3.0</v>
      </c>
      <c r="M72" s="5" t="s">
        <v>37</v>
      </c>
      <c r="N72" s="5" t="str">
        <f t="array" ref="N72">IFERROR(INDEX('Team Split'!$F$5:$F$8,MATCH(J72,'Team Split'!$A$5:$A$8,0))&amp;"","")</f>
        <v>D</v>
      </c>
    </row>
    <row r="73" ht="44.25" customHeight="1">
      <c r="A73" s="5">
        <v>72.0</v>
      </c>
      <c r="B73" s="6" t="s">
        <v>221</v>
      </c>
      <c r="C73" s="5">
        <v>7.0</v>
      </c>
      <c r="D73" s="6" t="s">
        <v>230</v>
      </c>
      <c r="E73" s="6" t="s">
        <v>231</v>
      </c>
      <c r="F73" s="6" t="s">
        <v>232</v>
      </c>
      <c r="G73" s="5" t="s">
        <v>51</v>
      </c>
      <c r="H73" s="5" t="s">
        <v>35</v>
      </c>
      <c r="I73" s="5">
        <v>1.0</v>
      </c>
      <c r="J73" s="5" t="s">
        <v>52</v>
      </c>
      <c r="K73" s="6" t="str">
        <f t="array" ref="K73">IFERROR(INDEX('Team Split'!$B$5:$B$8,MATCH(J73,'Team Split'!$A$5:$A$8,0))&amp;"","")</f>
        <v/>
      </c>
      <c r="L73" s="5">
        <v>5.0</v>
      </c>
      <c r="M73" s="5" t="s">
        <v>37</v>
      </c>
      <c r="N73" s="5" t="str">
        <f t="array" ref="N73">IFERROR(INDEX('Team Split'!$F$5:$F$8,MATCH(J73,'Team Split'!$A$5:$A$8,0))&amp;"","")</f>
        <v>B</v>
      </c>
    </row>
    <row r="74" ht="30.75" customHeight="1">
      <c r="A74" s="5">
        <v>73.0</v>
      </c>
      <c r="B74" s="6" t="s">
        <v>221</v>
      </c>
      <c r="C74" s="5">
        <v>72.0</v>
      </c>
      <c r="D74" s="6" t="s">
        <v>230</v>
      </c>
      <c r="E74" s="6" t="s">
        <v>233</v>
      </c>
      <c r="F74" s="6" t="s">
        <v>234</v>
      </c>
      <c r="G74" s="5" t="s">
        <v>65</v>
      </c>
      <c r="H74" s="5" t="s">
        <v>35</v>
      </c>
      <c r="I74" s="5">
        <v>3.0</v>
      </c>
      <c r="J74" s="5" t="s">
        <v>52</v>
      </c>
      <c r="K74" s="6" t="str">
        <f t="array" ref="K74">IFERROR(INDEX('Team Split'!$B$5:$B$8,MATCH(J74,'Team Split'!$A$5:$A$8,0))&amp;"","")</f>
        <v/>
      </c>
      <c r="L74" s="5">
        <v>2.0</v>
      </c>
      <c r="M74" s="5" t="s">
        <v>37</v>
      </c>
      <c r="N74" s="5" t="str">
        <f t="array" ref="N74">IFERROR(INDEX('Team Split'!$F$5:$F$8,MATCH(J74,'Team Split'!$A$5:$A$8,0))&amp;"","")</f>
        <v>B</v>
      </c>
    </row>
    <row r="75" ht="30.75" customHeight="1">
      <c r="A75" s="5">
        <v>74.0</v>
      </c>
      <c r="B75" s="6" t="s">
        <v>221</v>
      </c>
      <c r="C75" s="5" t="s">
        <v>235</v>
      </c>
      <c r="D75" s="6" t="s">
        <v>230</v>
      </c>
      <c r="E75" s="6" t="s">
        <v>236</v>
      </c>
      <c r="F75" s="6" t="s">
        <v>237</v>
      </c>
      <c r="G75" s="5" t="s">
        <v>65</v>
      </c>
      <c r="H75" s="5" t="s">
        <v>35</v>
      </c>
      <c r="I75" s="5">
        <v>2.0</v>
      </c>
      <c r="J75" s="5" t="s">
        <v>149</v>
      </c>
      <c r="K75" s="6" t="str">
        <f t="array" ref="K75">IFERROR(INDEX('Team Split'!$B$5:$B$8,MATCH(J75,'Team Split'!$A$5:$A$8,0))&amp;"","")</f>
        <v/>
      </c>
      <c r="L75" s="5">
        <v>3.0</v>
      </c>
      <c r="M75" s="5" t="s">
        <v>37</v>
      </c>
      <c r="N75" s="5" t="str">
        <f t="array" ref="N75">IFERROR(INDEX('Team Split'!$F$5:$F$8,MATCH(J75,'Team Split'!$A$5:$A$8,0))&amp;"","")</f>
        <v>D</v>
      </c>
    </row>
    <row r="76" ht="57.75" customHeight="1">
      <c r="A76" s="5">
        <v>75.0</v>
      </c>
      <c r="B76" s="6" t="s">
        <v>221</v>
      </c>
      <c r="C76" s="5">
        <v>44.0</v>
      </c>
      <c r="D76" s="6" t="s">
        <v>230</v>
      </c>
      <c r="E76" s="6" t="s">
        <v>238</v>
      </c>
      <c r="F76" s="6" t="s">
        <v>239</v>
      </c>
      <c r="G76" s="5" t="s">
        <v>65</v>
      </c>
      <c r="H76" s="5" t="s">
        <v>35</v>
      </c>
      <c r="I76" s="5">
        <v>2.0</v>
      </c>
      <c r="J76" s="5" t="s">
        <v>149</v>
      </c>
      <c r="K76" s="6" t="str">
        <f t="array" ref="K76">IFERROR(INDEX('Team Split'!$B$5:$B$8,MATCH(J76,'Team Split'!$A$5:$A$8,0))&amp;"","")</f>
        <v/>
      </c>
      <c r="L76" s="5">
        <v>3.0</v>
      </c>
      <c r="M76" s="5" t="s">
        <v>37</v>
      </c>
      <c r="N76" s="5" t="str">
        <f t="array" ref="N76">IFERROR(INDEX('Team Split'!$F$5:$F$8,MATCH(J76,'Team Split'!$A$5:$A$8,0))&amp;"","")</f>
        <v>D</v>
      </c>
    </row>
    <row r="77" ht="30.75" customHeight="1">
      <c r="A77" s="5">
        <v>76.0</v>
      </c>
      <c r="B77" s="6" t="s">
        <v>221</v>
      </c>
      <c r="C77" s="5">
        <v>7.0</v>
      </c>
      <c r="D77" s="6" t="s">
        <v>240</v>
      </c>
      <c r="E77" s="6" t="s">
        <v>241</v>
      </c>
      <c r="F77" s="6" t="s">
        <v>242</v>
      </c>
      <c r="G77" s="5" t="s">
        <v>51</v>
      </c>
      <c r="H77" s="5" t="s">
        <v>35</v>
      </c>
      <c r="I77" s="5">
        <v>2.0</v>
      </c>
      <c r="J77" s="5" t="s">
        <v>52</v>
      </c>
      <c r="K77" s="6" t="str">
        <f t="array" ref="K77">IFERROR(INDEX('Team Split'!$B$5:$B$8,MATCH(J77,'Team Split'!$A$5:$A$8,0))&amp;"","")</f>
        <v/>
      </c>
      <c r="L77" s="5">
        <v>5.0</v>
      </c>
      <c r="M77" s="5" t="s">
        <v>37</v>
      </c>
      <c r="N77" s="5" t="str">
        <f t="array" ref="N77">IFERROR(INDEX('Team Split'!$F$5:$F$8,MATCH(J77,'Team Split'!$A$5:$A$8,0))&amp;"","")</f>
        <v>B</v>
      </c>
    </row>
    <row r="78" ht="30.75" customHeight="1">
      <c r="A78" s="5">
        <v>77.0</v>
      </c>
      <c r="B78" s="6" t="s">
        <v>221</v>
      </c>
      <c r="C78" s="5">
        <v>76.0</v>
      </c>
      <c r="D78" s="6" t="s">
        <v>240</v>
      </c>
      <c r="E78" s="6" t="s">
        <v>243</v>
      </c>
      <c r="F78" s="6" t="s">
        <v>244</v>
      </c>
      <c r="G78" s="5" t="s">
        <v>65</v>
      </c>
      <c r="H78" s="5" t="s">
        <v>35</v>
      </c>
      <c r="I78" s="5">
        <v>3.0</v>
      </c>
      <c r="J78" s="5" t="s">
        <v>52</v>
      </c>
      <c r="K78" s="6" t="str">
        <f t="array" ref="K78">IFERROR(INDEX('Team Split'!$B$5:$B$8,MATCH(J78,'Team Split'!$A$5:$A$8,0))&amp;"","")</f>
        <v/>
      </c>
      <c r="L78" s="5">
        <v>2.0</v>
      </c>
      <c r="M78" s="5" t="s">
        <v>37</v>
      </c>
      <c r="N78" s="5" t="str">
        <f t="array" ref="N78">IFERROR(INDEX('Team Split'!$F$5:$F$8,MATCH(J78,'Team Split'!$A$5:$A$8,0))&amp;"","")</f>
        <v>B</v>
      </c>
    </row>
    <row r="79" ht="44.25" customHeight="1">
      <c r="A79" s="5">
        <v>78.0</v>
      </c>
      <c r="B79" s="6" t="s">
        <v>221</v>
      </c>
      <c r="C79" s="5" t="s">
        <v>245</v>
      </c>
      <c r="D79" s="6" t="s">
        <v>240</v>
      </c>
      <c r="E79" s="6" t="s">
        <v>246</v>
      </c>
      <c r="F79" s="6" t="s">
        <v>247</v>
      </c>
      <c r="G79" s="5" t="s">
        <v>65</v>
      </c>
      <c r="H79" s="5" t="s">
        <v>35</v>
      </c>
      <c r="I79" s="5">
        <v>2.0</v>
      </c>
      <c r="J79" s="5" t="s">
        <v>149</v>
      </c>
      <c r="K79" s="6" t="str">
        <f t="array" ref="K79">IFERROR(INDEX('Team Split'!$B$5:$B$8,MATCH(J79,'Team Split'!$A$5:$A$8,0))&amp;"","")</f>
        <v/>
      </c>
      <c r="L79" s="5">
        <v>2.0</v>
      </c>
      <c r="M79" s="5" t="s">
        <v>37</v>
      </c>
      <c r="N79" s="5" t="str">
        <f t="array" ref="N79">IFERROR(INDEX('Team Split'!$F$5:$F$8,MATCH(J79,'Team Split'!$A$5:$A$8,0))&amp;"","")</f>
        <v>D</v>
      </c>
    </row>
    <row r="80" ht="44.25" customHeight="1">
      <c r="A80" s="5">
        <v>79.0</v>
      </c>
      <c r="B80" s="6" t="s">
        <v>221</v>
      </c>
      <c r="C80" s="5">
        <v>78.0</v>
      </c>
      <c r="D80" s="6" t="s">
        <v>240</v>
      </c>
      <c r="E80" s="6" t="s">
        <v>248</v>
      </c>
      <c r="F80" s="6" t="s">
        <v>249</v>
      </c>
      <c r="G80" s="5" t="s">
        <v>65</v>
      </c>
      <c r="H80" s="5" t="s">
        <v>35</v>
      </c>
      <c r="I80" s="5">
        <v>2.0</v>
      </c>
      <c r="J80" s="5" t="s">
        <v>149</v>
      </c>
      <c r="K80" s="6" t="str">
        <f t="array" ref="K80">IFERROR(INDEX('Team Split'!$B$5:$B$8,MATCH(J80,'Team Split'!$A$5:$A$8,0))&amp;"","")</f>
        <v/>
      </c>
      <c r="L80" s="5">
        <v>3.0</v>
      </c>
      <c r="M80" s="5" t="s">
        <v>37</v>
      </c>
      <c r="N80" s="5" t="str">
        <f t="array" ref="N80">IFERROR(INDEX('Team Split'!$F$5:$F$8,MATCH(J80,'Team Split'!$A$5:$A$8,0))&amp;"","")</f>
        <v>D</v>
      </c>
    </row>
    <row r="81" ht="30.75" customHeight="1">
      <c r="A81" s="5">
        <v>80.0</v>
      </c>
      <c r="B81" s="6" t="s">
        <v>221</v>
      </c>
      <c r="C81" s="5">
        <v>45.0</v>
      </c>
      <c r="D81" s="6" t="s">
        <v>157</v>
      </c>
      <c r="E81" s="6" t="s">
        <v>250</v>
      </c>
      <c r="F81" s="6" t="s">
        <v>251</v>
      </c>
      <c r="G81" s="5" t="s">
        <v>65</v>
      </c>
      <c r="H81" s="5" t="s">
        <v>35</v>
      </c>
      <c r="I81" s="5">
        <v>2.0</v>
      </c>
      <c r="J81" s="5" t="s">
        <v>149</v>
      </c>
      <c r="K81" s="6" t="str">
        <f t="array" ref="K81">IFERROR(INDEX('Team Split'!$B$5:$B$8,MATCH(J81,'Team Split'!$A$5:$A$8,0))&amp;"","")</f>
        <v/>
      </c>
      <c r="L81" s="5">
        <v>1.0</v>
      </c>
      <c r="M81" s="5" t="s">
        <v>37</v>
      </c>
      <c r="N81" s="5" t="str">
        <f t="array" ref="N81">IFERROR(INDEX('Team Split'!$F$5:$F$8,MATCH(J81,'Team Split'!$A$5:$A$8,0))&amp;"","")</f>
        <v>D</v>
      </c>
    </row>
    <row r="82" ht="44.25" customHeight="1">
      <c r="A82" s="5">
        <v>81.0</v>
      </c>
      <c r="B82" s="6" t="s">
        <v>221</v>
      </c>
      <c r="C82" s="5" t="s">
        <v>252</v>
      </c>
      <c r="D82" s="6" t="s">
        <v>157</v>
      </c>
      <c r="E82" s="6" t="s">
        <v>253</v>
      </c>
      <c r="F82" s="6" t="s">
        <v>254</v>
      </c>
      <c r="G82" s="5" t="s">
        <v>51</v>
      </c>
      <c r="H82" s="5" t="s">
        <v>35</v>
      </c>
      <c r="I82" s="5">
        <v>2.0</v>
      </c>
      <c r="J82" s="5" t="s">
        <v>56</v>
      </c>
      <c r="K82" s="6" t="str">
        <f t="array" ref="K82">IFERROR(INDEX('Team Split'!$B$5:$B$8,MATCH(J82,'Team Split'!$A$5:$A$8,0))&amp;"","")</f>
        <v/>
      </c>
      <c r="L82" s="5">
        <v>2.0</v>
      </c>
      <c r="M82" s="5" t="s">
        <v>37</v>
      </c>
      <c r="N82" s="5" t="str">
        <f t="array" ref="N82">IFERROR(INDEX('Team Split'!$F$5:$F$8,MATCH(J82,'Team Split'!$A$5:$A$8,0))&amp;"","")</f>
        <v>A</v>
      </c>
    </row>
    <row r="83" ht="44.25" customHeight="1">
      <c r="A83" s="5">
        <v>82.0</v>
      </c>
      <c r="B83" s="6" t="s">
        <v>221</v>
      </c>
      <c r="C83" s="5" t="s">
        <v>255</v>
      </c>
      <c r="D83" s="6" t="s">
        <v>157</v>
      </c>
      <c r="E83" s="6" t="s">
        <v>256</v>
      </c>
      <c r="F83" s="6" t="s">
        <v>257</v>
      </c>
      <c r="G83" s="5" t="s">
        <v>65</v>
      </c>
      <c r="H83" s="5" t="s">
        <v>35</v>
      </c>
      <c r="I83" s="5">
        <v>3.0</v>
      </c>
      <c r="J83" s="5" t="s">
        <v>149</v>
      </c>
      <c r="K83" s="6" t="str">
        <f t="array" ref="K83">IFERROR(INDEX('Team Split'!$B$5:$B$8,MATCH(J83,'Team Split'!$A$5:$A$8,0))&amp;"","")</f>
        <v/>
      </c>
      <c r="L83" s="5">
        <v>2.0</v>
      </c>
      <c r="M83" s="5" t="s">
        <v>37</v>
      </c>
      <c r="N83" s="5" t="str">
        <f t="array" ref="N83">IFERROR(INDEX('Team Split'!$F$5:$F$8,MATCH(J83,'Team Split'!$A$5:$A$8,0))&amp;"","")</f>
        <v>D</v>
      </c>
    </row>
    <row r="84" ht="30.75" customHeight="1">
      <c r="A84" s="5">
        <v>83.0</v>
      </c>
      <c r="B84" s="6" t="s">
        <v>221</v>
      </c>
      <c r="C84" s="5">
        <v>10.0</v>
      </c>
      <c r="D84" s="6" t="s">
        <v>157</v>
      </c>
      <c r="E84" s="6" t="s">
        <v>258</v>
      </c>
      <c r="F84" s="6" t="s">
        <v>259</v>
      </c>
      <c r="G84" s="5" t="s">
        <v>65</v>
      </c>
      <c r="H84" s="5" t="s">
        <v>35</v>
      </c>
      <c r="I84" s="5">
        <v>2.0</v>
      </c>
      <c r="J84" s="5" t="s">
        <v>149</v>
      </c>
      <c r="K84" s="6" t="str">
        <f t="array" ref="K84">IFERROR(INDEX('Team Split'!$B$5:$B$8,MATCH(J84,'Team Split'!$A$5:$A$8,0))&amp;"","")</f>
        <v/>
      </c>
      <c r="L84" s="5">
        <v>1.0</v>
      </c>
      <c r="M84" s="5" t="s">
        <v>37</v>
      </c>
      <c r="N84" s="5" t="str">
        <f t="array" ref="N84">IFERROR(INDEX('Team Split'!$F$5:$F$8,MATCH(J84,'Team Split'!$A$5:$A$8,0))&amp;"","")</f>
        <v>D</v>
      </c>
    </row>
    <row r="85" ht="30.75" customHeight="1">
      <c r="A85" s="5">
        <v>84.0</v>
      </c>
      <c r="B85" s="6" t="s">
        <v>221</v>
      </c>
      <c r="C85" s="5" t="s">
        <v>260</v>
      </c>
      <c r="D85" s="6" t="s">
        <v>157</v>
      </c>
      <c r="E85" s="6" t="s">
        <v>261</v>
      </c>
      <c r="F85" s="6" t="s">
        <v>262</v>
      </c>
      <c r="G85" s="5" t="s">
        <v>65</v>
      </c>
      <c r="H85" s="5" t="s">
        <v>35</v>
      </c>
      <c r="I85" s="5">
        <v>2.0</v>
      </c>
      <c r="J85" s="5" t="s">
        <v>149</v>
      </c>
      <c r="K85" s="6" t="str">
        <f t="array" ref="K85">IFERROR(INDEX('Team Split'!$B$5:$B$8,MATCH(J85,'Team Split'!$A$5:$A$8,0))&amp;"","")</f>
        <v/>
      </c>
      <c r="L85" s="5">
        <v>1.0</v>
      </c>
      <c r="M85" s="5" t="s">
        <v>37</v>
      </c>
      <c r="N85" s="5" t="str">
        <f t="array" ref="N85">IFERROR(INDEX('Team Split'!$F$5:$F$8,MATCH(J85,'Team Split'!$A$5:$A$8,0))&amp;"","")</f>
        <v>D</v>
      </c>
    </row>
    <row r="86" ht="44.25" customHeight="1">
      <c r="A86" s="5">
        <v>85.0</v>
      </c>
      <c r="B86" s="6" t="s">
        <v>263</v>
      </c>
      <c r="C86" s="5">
        <v>7.0</v>
      </c>
      <c r="D86" s="6" t="s">
        <v>264</v>
      </c>
      <c r="E86" s="6" t="s">
        <v>265</v>
      </c>
      <c r="F86" s="6" t="s">
        <v>266</v>
      </c>
      <c r="G86" s="5" t="s">
        <v>51</v>
      </c>
      <c r="H86" s="5" t="s">
        <v>35</v>
      </c>
      <c r="I86" s="5">
        <v>2.0</v>
      </c>
      <c r="J86" s="5" t="s">
        <v>52</v>
      </c>
      <c r="K86" s="6" t="str">
        <f t="array" ref="K86">IFERROR(INDEX('Team Split'!$B$5:$B$8,MATCH(J86,'Team Split'!$A$5:$A$8,0))&amp;"","")</f>
        <v/>
      </c>
      <c r="L86" s="5">
        <v>5.0</v>
      </c>
      <c r="M86" s="5" t="s">
        <v>37</v>
      </c>
      <c r="N86" s="5" t="str">
        <f t="array" ref="N86">IFERROR(INDEX('Team Split'!$F$5:$F$8,MATCH(J86,'Team Split'!$A$5:$A$8,0))&amp;"","")</f>
        <v>B</v>
      </c>
    </row>
    <row r="87" ht="44.25" customHeight="1">
      <c r="A87" s="5">
        <v>86.0</v>
      </c>
      <c r="B87" s="6" t="s">
        <v>263</v>
      </c>
      <c r="C87" s="5" t="s">
        <v>267</v>
      </c>
      <c r="D87" s="6" t="s">
        <v>264</v>
      </c>
      <c r="E87" s="6" t="s">
        <v>268</v>
      </c>
      <c r="F87" s="6" t="s">
        <v>269</v>
      </c>
      <c r="G87" s="5" t="s">
        <v>270</v>
      </c>
      <c r="H87" s="5" t="s">
        <v>35</v>
      </c>
      <c r="I87" s="5">
        <v>1.0</v>
      </c>
      <c r="J87" s="5" t="s">
        <v>149</v>
      </c>
      <c r="K87" s="6" t="str">
        <f t="array" ref="K87">IFERROR(INDEX('Team Split'!$B$5:$B$8,MATCH(J87,'Team Split'!$A$5:$A$8,0))&amp;"","")</f>
        <v/>
      </c>
      <c r="L87" s="5">
        <v>3.0</v>
      </c>
      <c r="M87" s="5" t="s">
        <v>37</v>
      </c>
      <c r="N87" s="5" t="str">
        <f t="array" ref="N87">IFERROR(INDEX('Team Split'!$F$5:$F$8,MATCH(J87,'Team Split'!$A$5:$A$8,0))&amp;"","")</f>
        <v>D</v>
      </c>
    </row>
    <row r="88" ht="30.75" customHeight="1">
      <c r="A88" s="5">
        <v>87.0</v>
      </c>
      <c r="B88" s="6" t="s">
        <v>263</v>
      </c>
      <c r="C88" s="5">
        <v>7.0</v>
      </c>
      <c r="D88" s="6" t="s">
        <v>271</v>
      </c>
      <c r="E88" s="6" t="s">
        <v>272</v>
      </c>
      <c r="F88" s="6" t="s">
        <v>273</v>
      </c>
      <c r="G88" s="5" t="s">
        <v>51</v>
      </c>
      <c r="H88" s="5" t="s">
        <v>35</v>
      </c>
      <c r="I88" s="5">
        <v>2.0</v>
      </c>
      <c r="J88" s="5" t="s">
        <v>36</v>
      </c>
      <c r="K88" s="6" t="str">
        <f t="array" ref="K88">IFERROR(INDEX('Team Split'!$B$5:$B$8,MATCH(J88,'Team Split'!$A$5:$A$8,0))&amp;"","")</f>
        <v/>
      </c>
      <c r="L88" s="5">
        <v>5.0</v>
      </c>
      <c r="M88" s="5" t="s">
        <v>37</v>
      </c>
      <c r="N88" s="5" t="str">
        <f t="array" ref="N88">IFERROR(INDEX('Team Split'!$F$5:$F$8,MATCH(J88,'Team Split'!$A$5:$A$8,0))&amp;"","")</f>
        <v>C</v>
      </c>
    </row>
    <row r="89" ht="44.25" customHeight="1">
      <c r="A89" s="5">
        <v>88.0</v>
      </c>
      <c r="B89" s="6" t="s">
        <v>263</v>
      </c>
      <c r="C89" s="5" t="s">
        <v>267</v>
      </c>
      <c r="D89" s="6" t="s">
        <v>271</v>
      </c>
      <c r="E89" s="6" t="s">
        <v>274</v>
      </c>
      <c r="F89" s="6" t="s">
        <v>275</v>
      </c>
      <c r="G89" s="5" t="s">
        <v>270</v>
      </c>
      <c r="H89" s="5" t="s">
        <v>35</v>
      </c>
      <c r="I89" s="5">
        <v>2.0</v>
      </c>
      <c r="J89" s="5" t="s">
        <v>149</v>
      </c>
      <c r="K89" s="6" t="str">
        <f t="array" ref="K89">IFERROR(INDEX('Team Split'!$B$5:$B$8,MATCH(J89,'Team Split'!$A$5:$A$8,0))&amp;"","")</f>
        <v/>
      </c>
      <c r="L89" s="5">
        <v>3.0</v>
      </c>
      <c r="M89" s="5" t="s">
        <v>37</v>
      </c>
      <c r="N89" s="5" t="str">
        <f t="array" ref="N89">IFERROR(INDEX('Team Split'!$F$5:$F$8,MATCH(J89,'Team Split'!$A$5:$A$8,0))&amp;"","")</f>
        <v>D</v>
      </c>
    </row>
    <row r="90" ht="30.75" customHeight="1">
      <c r="A90" s="5">
        <v>89.0</v>
      </c>
      <c r="B90" s="6" t="s">
        <v>263</v>
      </c>
      <c r="C90" s="5">
        <v>7.0</v>
      </c>
      <c r="D90" s="6" t="s">
        <v>276</v>
      </c>
      <c r="E90" s="6" t="s">
        <v>277</v>
      </c>
      <c r="F90" s="6" t="s">
        <v>278</v>
      </c>
      <c r="G90" s="5" t="s">
        <v>51</v>
      </c>
      <c r="H90" s="5" t="s">
        <v>35</v>
      </c>
      <c r="I90" s="5">
        <v>3.0</v>
      </c>
      <c r="J90" s="5" t="s">
        <v>36</v>
      </c>
      <c r="K90" s="6" t="str">
        <f t="array" ref="K90">IFERROR(INDEX('Team Split'!$B$5:$B$8,MATCH(J90,'Team Split'!$A$5:$A$8,0))&amp;"","")</f>
        <v/>
      </c>
      <c r="L90" s="5">
        <v>5.0</v>
      </c>
      <c r="M90" s="5" t="s">
        <v>37</v>
      </c>
      <c r="N90" s="5" t="str">
        <f t="array" ref="N90">IFERROR(INDEX('Team Split'!$F$5:$F$8,MATCH(J90,'Team Split'!$A$5:$A$8,0))&amp;"","")</f>
        <v>C</v>
      </c>
    </row>
    <row r="91" ht="30.75" customHeight="1">
      <c r="A91" s="5">
        <v>90.0</v>
      </c>
      <c r="B91" s="6" t="s">
        <v>263</v>
      </c>
      <c r="C91" s="5" t="s">
        <v>279</v>
      </c>
      <c r="D91" s="6" t="s">
        <v>276</v>
      </c>
      <c r="E91" s="6" t="s">
        <v>280</v>
      </c>
      <c r="F91" s="6" t="s">
        <v>281</v>
      </c>
      <c r="G91" s="5" t="s">
        <v>270</v>
      </c>
      <c r="H91" s="5" t="s">
        <v>35</v>
      </c>
      <c r="I91" s="5">
        <v>2.0</v>
      </c>
      <c r="J91" s="5" t="s">
        <v>149</v>
      </c>
      <c r="K91" s="6" t="str">
        <f t="array" ref="K91">IFERROR(INDEX('Team Split'!$B$5:$B$8,MATCH(J91,'Team Split'!$A$5:$A$8,0))&amp;"","")</f>
        <v/>
      </c>
      <c r="L91" s="5">
        <v>3.0</v>
      </c>
      <c r="M91" s="5" t="s">
        <v>37</v>
      </c>
      <c r="N91" s="5" t="str">
        <f t="array" ref="N91">IFERROR(INDEX('Team Split'!$F$5:$F$8,MATCH(J91,'Team Split'!$A$5:$A$8,0))&amp;"","")</f>
        <v>D</v>
      </c>
    </row>
    <row r="92" ht="30.75" customHeight="1">
      <c r="A92" s="5">
        <v>91.0</v>
      </c>
      <c r="B92" s="6" t="s">
        <v>263</v>
      </c>
      <c r="C92" s="5" t="s">
        <v>282</v>
      </c>
      <c r="D92" s="6" t="s">
        <v>172</v>
      </c>
      <c r="E92" s="6" t="s">
        <v>283</v>
      </c>
      <c r="F92" s="6" t="s">
        <v>284</v>
      </c>
      <c r="G92" s="5" t="s">
        <v>270</v>
      </c>
      <c r="H92" s="5" t="s">
        <v>35</v>
      </c>
      <c r="I92" s="5">
        <v>3.0</v>
      </c>
      <c r="J92" s="5" t="s">
        <v>36</v>
      </c>
      <c r="K92" s="6" t="str">
        <f t="array" ref="K92">IFERROR(INDEX('Team Split'!$B$5:$B$8,MATCH(J92,'Team Split'!$A$5:$A$8,0))&amp;"","")</f>
        <v/>
      </c>
      <c r="L92" s="5">
        <v>3.0</v>
      </c>
      <c r="M92" s="5" t="s">
        <v>37</v>
      </c>
      <c r="N92" s="5" t="str">
        <f t="array" ref="N92">IFERROR(INDEX('Team Split'!$F$5:$F$8,MATCH(J92,'Team Split'!$A$5:$A$8,0))&amp;"","")</f>
        <v>C</v>
      </c>
    </row>
    <row r="93" ht="30.75" customHeight="1">
      <c r="A93" s="5">
        <v>92.0</v>
      </c>
      <c r="B93" s="6" t="s">
        <v>263</v>
      </c>
      <c r="C93" s="5" t="s">
        <v>285</v>
      </c>
      <c r="D93" s="6" t="s">
        <v>172</v>
      </c>
      <c r="E93" s="6" t="s">
        <v>286</v>
      </c>
      <c r="F93" s="6" t="s">
        <v>287</v>
      </c>
      <c r="G93" s="5" t="s">
        <v>51</v>
      </c>
      <c r="H93" s="5" t="s">
        <v>35</v>
      </c>
      <c r="I93" s="5">
        <v>3.0</v>
      </c>
      <c r="J93" s="5" t="s">
        <v>149</v>
      </c>
      <c r="K93" s="6" t="str">
        <f t="array" ref="K93">IFERROR(INDEX('Team Split'!$B$5:$B$8,MATCH(J93,'Team Split'!$A$5:$A$8,0))&amp;"","")</f>
        <v/>
      </c>
      <c r="L93" s="5">
        <v>2.0</v>
      </c>
      <c r="M93" s="5" t="s">
        <v>37</v>
      </c>
      <c r="N93" s="5" t="str">
        <f t="array" ref="N93">IFERROR(INDEX('Team Split'!$F$5:$F$8,MATCH(J93,'Team Split'!$A$5:$A$8,0))&amp;"","")</f>
        <v>D</v>
      </c>
    </row>
    <row r="94" ht="30.75" customHeight="1">
      <c r="A94" s="5">
        <v>93.0</v>
      </c>
      <c r="B94" s="6" t="s">
        <v>263</v>
      </c>
      <c r="C94" s="5">
        <v>81.0</v>
      </c>
      <c r="D94" s="6" t="s">
        <v>172</v>
      </c>
      <c r="E94" s="6" t="s">
        <v>253</v>
      </c>
      <c r="F94" s="6" t="s">
        <v>288</v>
      </c>
      <c r="G94" s="5" t="s">
        <v>51</v>
      </c>
      <c r="H94" s="5" t="s">
        <v>35</v>
      </c>
      <c r="I94" s="5">
        <v>2.0</v>
      </c>
      <c r="J94" s="5" t="s">
        <v>56</v>
      </c>
      <c r="K94" s="6" t="str">
        <f t="array" ref="K94">IFERROR(INDEX('Team Split'!$B$5:$B$8,MATCH(J94,'Team Split'!$A$5:$A$8,0))&amp;"","")</f>
        <v/>
      </c>
      <c r="L94" s="5">
        <v>1.0</v>
      </c>
      <c r="M94" s="5" t="s">
        <v>37</v>
      </c>
      <c r="N94" s="5" t="str">
        <f t="array" ref="N94">IFERROR(INDEX('Team Split'!$F$5:$F$8,MATCH(J94,'Team Split'!$A$5:$A$8,0))&amp;"","")</f>
        <v>A</v>
      </c>
    </row>
    <row r="95" ht="17.25" customHeight="1">
      <c r="A95" s="5">
        <v>94.0</v>
      </c>
      <c r="B95" s="6" t="s">
        <v>263</v>
      </c>
      <c r="C95" s="5">
        <v>82.0</v>
      </c>
      <c r="D95" s="6" t="s">
        <v>172</v>
      </c>
      <c r="E95" s="6" t="s">
        <v>256</v>
      </c>
      <c r="F95" s="6" t="s">
        <v>289</v>
      </c>
      <c r="G95" s="5" t="s">
        <v>270</v>
      </c>
      <c r="H95" s="5" t="s">
        <v>35</v>
      </c>
      <c r="I95" s="5">
        <v>3.0</v>
      </c>
      <c r="J95" s="5" t="s">
        <v>149</v>
      </c>
      <c r="K95" s="6" t="str">
        <f t="array" ref="K95">IFERROR(INDEX('Team Split'!$B$5:$B$8,MATCH(J95,'Team Split'!$A$5:$A$8,0))&amp;"","")</f>
        <v/>
      </c>
      <c r="L95" s="5">
        <v>1.0</v>
      </c>
      <c r="M95" s="5" t="s">
        <v>37</v>
      </c>
      <c r="N95" s="5" t="str">
        <f t="array" ref="N95">IFERROR(INDEX('Team Split'!$F$5:$F$8,MATCH(J95,'Team Split'!$A$5:$A$8,0))&amp;"","")</f>
        <v>D</v>
      </c>
    </row>
    <row r="96" ht="30.75" customHeight="1">
      <c r="A96" s="5">
        <v>95.0</v>
      </c>
      <c r="B96" s="6" t="s">
        <v>263</v>
      </c>
      <c r="C96" s="5">
        <v>10.0</v>
      </c>
      <c r="D96" s="6" t="s">
        <v>172</v>
      </c>
      <c r="E96" s="6" t="s">
        <v>290</v>
      </c>
      <c r="F96" s="6" t="s">
        <v>291</v>
      </c>
      <c r="G96" s="5" t="s">
        <v>270</v>
      </c>
      <c r="H96" s="5" t="s">
        <v>35</v>
      </c>
      <c r="I96" s="5">
        <v>2.0</v>
      </c>
      <c r="J96" s="5" t="s">
        <v>149</v>
      </c>
      <c r="K96" s="6" t="str">
        <f t="array" ref="K96">IFERROR(INDEX('Team Split'!$B$5:$B$8,MATCH(J96,'Team Split'!$A$5:$A$8,0))&amp;"","")</f>
        <v/>
      </c>
      <c r="L96" s="5">
        <v>1.0</v>
      </c>
      <c r="M96" s="5" t="s">
        <v>37</v>
      </c>
      <c r="N96" s="5" t="str">
        <f t="array" ref="N96">IFERROR(INDEX('Team Split'!$F$5:$F$8,MATCH(J96,'Team Split'!$A$5:$A$8,0))&amp;"","")</f>
        <v>D</v>
      </c>
    </row>
    <row r="97" ht="17.25" customHeight="1">
      <c r="A97" s="5">
        <v>96.0</v>
      </c>
      <c r="B97" s="6" t="s">
        <v>263</v>
      </c>
      <c r="C97" s="5" t="s">
        <v>292</v>
      </c>
      <c r="D97" s="6" t="s">
        <v>172</v>
      </c>
      <c r="E97" s="6" t="s">
        <v>293</v>
      </c>
      <c r="F97" s="6" t="s">
        <v>294</v>
      </c>
      <c r="G97" s="5" t="s">
        <v>270</v>
      </c>
      <c r="H97" s="5" t="s">
        <v>35</v>
      </c>
      <c r="I97" s="5">
        <v>2.0</v>
      </c>
      <c r="J97" s="5" t="s">
        <v>149</v>
      </c>
      <c r="K97" s="6" t="str">
        <f t="array" ref="K97">IFERROR(INDEX('Team Split'!$B$5:$B$8,MATCH(J97,'Team Split'!$A$5:$A$8,0))&amp;"","")</f>
        <v/>
      </c>
      <c r="L97" s="5">
        <v>1.0</v>
      </c>
      <c r="M97" s="5" t="s">
        <v>37</v>
      </c>
      <c r="N97" s="5" t="str">
        <f t="array" ref="N97">IFERROR(INDEX('Team Split'!$F$5:$F$8,MATCH(J97,'Team Split'!$A$5:$A$8,0))&amp;"","")</f>
        <v>D</v>
      </c>
    </row>
    <row r="98" ht="30.75" customHeight="1">
      <c r="A98" s="5">
        <v>97.0</v>
      </c>
      <c r="B98" s="6" t="s">
        <v>263</v>
      </c>
      <c r="C98" s="5">
        <v>10.0</v>
      </c>
      <c r="D98" s="6" t="s">
        <v>172</v>
      </c>
      <c r="E98" s="6" t="s">
        <v>295</v>
      </c>
      <c r="F98" s="6" t="s">
        <v>296</v>
      </c>
      <c r="G98" s="5" t="s">
        <v>297</v>
      </c>
      <c r="H98" s="5" t="s">
        <v>35</v>
      </c>
      <c r="I98" s="5">
        <v>2.0</v>
      </c>
      <c r="J98" s="5" t="s">
        <v>36</v>
      </c>
      <c r="K98" s="6" t="str">
        <f t="array" ref="K98">IFERROR(INDEX('Team Split'!$B$5:$B$8,MATCH(J98,'Team Split'!$A$5:$A$8,0))&amp;"","")</f>
        <v/>
      </c>
      <c r="L98" s="5">
        <v>1.0</v>
      </c>
      <c r="M98" s="5" t="s">
        <v>37</v>
      </c>
      <c r="N98" s="5" t="str">
        <f t="array" ref="N98">IFERROR(INDEX('Team Split'!$F$5:$F$8,MATCH(J98,'Team Split'!$A$5:$A$8,0))&amp;"","")</f>
        <v>C</v>
      </c>
    </row>
    <row r="99" ht="57.75" customHeight="1">
      <c r="A99" s="5">
        <v>98.0</v>
      </c>
      <c r="B99" s="6" t="s">
        <v>298</v>
      </c>
      <c r="C99" s="5" t="s">
        <v>299</v>
      </c>
      <c r="D99" s="6" t="s">
        <v>146</v>
      </c>
      <c r="E99" s="6" t="s">
        <v>300</v>
      </c>
      <c r="F99" s="6" t="s">
        <v>301</v>
      </c>
      <c r="G99" s="5" t="s">
        <v>270</v>
      </c>
      <c r="H99" s="5" t="s">
        <v>35</v>
      </c>
      <c r="I99" s="5">
        <v>2.0</v>
      </c>
      <c r="J99" s="5" t="s">
        <v>36</v>
      </c>
      <c r="K99" s="6" t="str">
        <f t="array" ref="K99">IFERROR(INDEX('Team Split'!$B$5:$B$8,MATCH(J99,'Team Split'!$A$5:$A$8,0))&amp;"","")</f>
        <v/>
      </c>
      <c r="L99" s="5">
        <v>2.0</v>
      </c>
      <c r="M99" s="5" t="s">
        <v>37</v>
      </c>
      <c r="N99" s="5" t="str">
        <f t="array" ref="N99">IFERROR(INDEX('Team Split'!$F$5:$F$8,MATCH(J99,'Team Split'!$A$5:$A$8,0))&amp;"","")</f>
        <v>C</v>
      </c>
    </row>
    <row r="100" ht="30.75" customHeight="1">
      <c r="A100" s="5">
        <v>99.0</v>
      </c>
      <c r="B100" s="6" t="s">
        <v>298</v>
      </c>
      <c r="C100" s="5">
        <v>98.0</v>
      </c>
      <c r="D100" s="6" t="s">
        <v>146</v>
      </c>
      <c r="E100" s="6" t="s">
        <v>302</v>
      </c>
      <c r="F100" s="6" t="s">
        <v>303</v>
      </c>
      <c r="G100" s="5" t="s">
        <v>270</v>
      </c>
      <c r="H100" s="5" t="s">
        <v>35</v>
      </c>
      <c r="I100" s="5">
        <v>2.0</v>
      </c>
      <c r="J100" s="5" t="s">
        <v>36</v>
      </c>
      <c r="K100" s="6" t="str">
        <f t="array" ref="K100">IFERROR(INDEX('Team Split'!$B$5:$B$8,MATCH(J100,'Team Split'!$A$5:$A$8,0))&amp;"","")</f>
        <v/>
      </c>
      <c r="L100" s="5">
        <v>1.0</v>
      </c>
      <c r="M100" s="5" t="s">
        <v>37</v>
      </c>
      <c r="N100" s="5" t="str">
        <f t="array" ref="N100">IFERROR(INDEX('Team Split'!$F$5:$F$8,MATCH(J100,'Team Split'!$A$5:$A$8,0))&amp;"","")</f>
        <v>C</v>
      </c>
    </row>
    <row r="101" ht="30.75" customHeight="1">
      <c r="A101" s="5">
        <v>100.0</v>
      </c>
      <c r="B101" s="6" t="s">
        <v>298</v>
      </c>
      <c r="C101" s="5">
        <v>98.0</v>
      </c>
      <c r="D101" s="6" t="s">
        <v>146</v>
      </c>
      <c r="E101" s="6" t="s">
        <v>304</v>
      </c>
      <c r="F101" s="6" t="s">
        <v>305</v>
      </c>
      <c r="G101" s="5" t="s">
        <v>270</v>
      </c>
      <c r="H101" s="5" t="s">
        <v>35</v>
      </c>
      <c r="I101" s="5">
        <v>2.0</v>
      </c>
      <c r="J101" s="5" t="s">
        <v>36</v>
      </c>
      <c r="K101" s="6" t="str">
        <f t="array" ref="K101">IFERROR(INDEX('Team Split'!$B$5:$B$8,MATCH(J101,'Team Split'!$A$5:$A$8,0))&amp;"","")</f>
        <v/>
      </c>
      <c r="L101" s="5">
        <v>1.0</v>
      </c>
      <c r="M101" s="5" t="s">
        <v>37</v>
      </c>
      <c r="N101" s="5" t="str">
        <f t="array" ref="N101">IFERROR(INDEX('Team Split'!$F$5:$F$8,MATCH(J101,'Team Split'!$A$5:$A$8,0))&amp;"","")</f>
        <v>C</v>
      </c>
    </row>
    <row r="102" ht="30.75" customHeight="1">
      <c r="A102" s="5">
        <v>101.0</v>
      </c>
      <c r="B102" s="6" t="s">
        <v>298</v>
      </c>
      <c r="C102" s="5">
        <v>98.0</v>
      </c>
      <c r="D102" s="6" t="s">
        <v>146</v>
      </c>
      <c r="E102" s="6" t="s">
        <v>306</v>
      </c>
      <c r="F102" s="6" t="s">
        <v>307</v>
      </c>
      <c r="G102" s="5" t="s">
        <v>270</v>
      </c>
      <c r="H102" s="5" t="s">
        <v>35</v>
      </c>
      <c r="I102" s="5">
        <v>2.0</v>
      </c>
      <c r="J102" s="5" t="s">
        <v>36</v>
      </c>
      <c r="K102" s="6" t="str">
        <f t="array" ref="K102">IFERROR(INDEX('Team Split'!$B$5:$B$8,MATCH(J102,'Team Split'!$A$5:$A$8,0))&amp;"","")</f>
        <v/>
      </c>
      <c r="L102" s="5">
        <v>2.0</v>
      </c>
      <c r="M102" s="5" t="s">
        <v>37</v>
      </c>
      <c r="N102" s="5" t="str">
        <f t="array" ref="N102">IFERROR(INDEX('Team Split'!$F$5:$F$8,MATCH(J102,'Team Split'!$A$5:$A$8,0))&amp;"","")</f>
        <v>C</v>
      </c>
    </row>
    <row r="103" ht="30.75" customHeight="1">
      <c r="A103" s="5">
        <v>102.0</v>
      </c>
      <c r="B103" s="6" t="s">
        <v>298</v>
      </c>
      <c r="C103" s="5">
        <v>101.0</v>
      </c>
      <c r="D103" s="6" t="s">
        <v>146</v>
      </c>
      <c r="E103" s="6" t="s">
        <v>308</v>
      </c>
      <c r="F103" s="6" t="s">
        <v>309</v>
      </c>
      <c r="G103" s="5" t="s">
        <v>270</v>
      </c>
      <c r="H103" s="5" t="s">
        <v>35</v>
      </c>
      <c r="I103" s="5">
        <v>2.0</v>
      </c>
      <c r="J103" s="5" t="s">
        <v>36</v>
      </c>
      <c r="K103" s="6" t="str">
        <f t="array" ref="K103">IFERROR(INDEX('Team Split'!$B$5:$B$8,MATCH(J103,'Team Split'!$A$5:$A$8,0))&amp;"","")</f>
        <v/>
      </c>
      <c r="L103" s="5">
        <v>1.0</v>
      </c>
      <c r="M103" s="5" t="s">
        <v>37</v>
      </c>
      <c r="N103" s="5" t="str">
        <f t="array" ref="N103">IFERROR(INDEX('Team Split'!$F$5:$F$8,MATCH(J103,'Team Split'!$A$5:$A$8,0))&amp;"","")</f>
        <v>C</v>
      </c>
    </row>
    <row r="104" ht="30.75" customHeight="1">
      <c r="A104" s="5">
        <v>103.0</v>
      </c>
      <c r="B104" s="6" t="s">
        <v>298</v>
      </c>
      <c r="C104" s="5" t="s">
        <v>310</v>
      </c>
      <c r="D104" s="6" t="s">
        <v>72</v>
      </c>
      <c r="E104" s="6" t="s">
        <v>311</v>
      </c>
      <c r="F104" s="6" t="s">
        <v>312</v>
      </c>
      <c r="G104" s="5" t="s">
        <v>55</v>
      </c>
      <c r="H104" s="5" t="s">
        <v>110</v>
      </c>
      <c r="I104" s="5">
        <v>3.0</v>
      </c>
      <c r="J104" s="5" t="s">
        <v>56</v>
      </c>
      <c r="K104" s="6" t="str">
        <f t="array" ref="K104">IFERROR(INDEX('Team Split'!$B$5:$B$8,MATCH(J104,'Team Split'!$A$5:$A$8,0))&amp;"","")</f>
        <v/>
      </c>
      <c r="L104" s="5">
        <v>1.0</v>
      </c>
      <c r="M104" s="5" t="s">
        <v>37</v>
      </c>
      <c r="N104" s="5" t="str">
        <f t="array" ref="N104">IFERROR(INDEX('Team Split'!$F$5:$F$8,MATCH(J104,'Team Split'!$A$5:$A$8,0))&amp;"","")</f>
        <v>A</v>
      </c>
    </row>
    <row r="105" ht="30.75" customHeight="1">
      <c r="A105" s="5">
        <v>104.0</v>
      </c>
      <c r="B105" s="6" t="s">
        <v>313</v>
      </c>
      <c r="C105" s="5">
        <v>7.0</v>
      </c>
      <c r="D105" s="6" t="s">
        <v>72</v>
      </c>
      <c r="E105" s="6" t="s">
        <v>314</v>
      </c>
      <c r="F105" s="6" t="s">
        <v>315</v>
      </c>
      <c r="G105" s="5" t="s">
        <v>55</v>
      </c>
      <c r="H105" s="5" t="s">
        <v>35</v>
      </c>
      <c r="I105" s="5">
        <v>1.0</v>
      </c>
      <c r="J105" s="5" t="s">
        <v>52</v>
      </c>
      <c r="K105" s="6" t="str">
        <f t="array" ref="K105">IFERROR(INDEX('Team Split'!$B$5:$B$8,MATCH(J105,'Team Split'!$A$5:$A$8,0))&amp;"","")</f>
        <v/>
      </c>
      <c r="L105" s="5">
        <v>1.0</v>
      </c>
      <c r="M105" s="5" t="s">
        <v>37</v>
      </c>
      <c r="N105" s="5" t="str">
        <f t="array" ref="N105">IFERROR(INDEX('Team Split'!$F$5:$F$8,MATCH(J105,'Team Split'!$A$5:$A$8,0))&amp;"","")</f>
        <v>B</v>
      </c>
    </row>
    <row r="106" ht="17.25" customHeight="1">
      <c r="A106" s="5">
        <v>105.0</v>
      </c>
      <c r="B106" s="6" t="s">
        <v>313</v>
      </c>
      <c r="C106" s="5" t="s">
        <v>316</v>
      </c>
      <c r="D106" s="6" t="s">
        <v>146</v>
      </c>
      <c r="E106" s="6" t="s">
        <v>317</v>
      </c>
      <c r="F106" s="6" t="s">
        <v>318</v>
      </c>
      <c r="G106" s="5" t="s">
        <v>270</v>
      </c>
      <c r="H106" s="5" t="s">
        <v>35</v>
      </c>
      <c r="I106" s="5">
        <v>2.0</v>
      </c>
      <c r="J106" s="5" t="s">
        <v>36</v>
      </c>
      <c r="K106" s="6" t="str">
        <f t="array" ref="K106">IFERROR(INDEX('Team Split'!$B$5:$B$8,MATCH(J106,'Team Split'!$A$5:$A$8,0))&amp;"","")</f>
        <v/>
      </c>
      <c r="L106" s="5">
        <v>2.0</v>
      </c>
      <c r="M106" s="5" t="s">
        <v>37</v>
      </c>
      <c r="N106" s="5" t="str">
        <f t="array" ref="N106">IFERROR(INDEX('Team Split'!$F$5:$F$8,MATCH(J106,'Team Split'!$A$5:$A$8,0))&amp;"","")</f>
        <v>C</v>
      </c>
    </row>
    <row r="107" ht="30.75" customHeight="1">
      <c r="A107" s="5">
        <v>106.0</v>
      </c>
      <c r="B107" s="6" t="s">
        <v>313</v>
      </c>
      <c r="C107" s="5" t="s">
        <v>319</v>
      </c>
      <c r="D107" s="6" t="s">
        <v>157</v>
      </c>
      <c r="E107" s="6" t="s">
        <v>320</v>
      </c>
      <c r="F107" s="6" t="s">
        <v>321</v>
      </c>
      <c r="G107" s="5" t="s">
        <v>270</v>
      </c>
      <c r="H107" s="5" t="s">
        <v>35</v>
      </c>
      <c r="I107" s="5">
        <v>2.0</v>
      </c>
      <c r="J107" s="5" t="s">
        <v>36</v>
      </c>
      <c r="K107" s="6" t="str">
        <f t="array" ref="K107">IFERROR(INDEX('Team Split'!$B$5:$B$8,MATCH(J107,'Team Split'!$A$5:$A$8,0))&amp;"","")</f>
        <v/>
      </c>
      <c r="L107" s="5">
        <v>2.0</v>
      </c>
      <c r="M107" s="5" t="s">
        <v>37</v>
      </c>
      <c r="N107" s="5" t="str">
        <f t="array" ref="N107">IFERROR(INDEX('Team Split'!$F$5:$F$8,MATCH(J107,'Team Split'!$A$5:$A$8,0))&amp;"","")</f>
        <v>C</v>
      </c>
    </row>
    <row r="108" ht="30.75" customHeight="1">
      <c r="A108" s="5">
        <v>107.0</v>
      </c>
      <c r="B108" s="6" t="s">
        <v>322</v>
      </c>
      <c r="C108" s="5">
        <v>102.0</v>
      </c>
      <c r="D108" s="6" t="s">
        <v>146</v>
      </c>
      <c r="E108" s="6" t="s">
        <v>323</v>
      </c>
      <c r="F108" s="6" t="s">
        <v>324</v>
      </c>
      <c r="G108" s="5" t="s">
        <v>297</v>
      </c>
      <c r="H108" s="5" t="s">
        <v>35</v>
      </c>
      <c r="I108" s="5">
        <v>2.0</v>
      </c>
      <c r="J108" s="5" t="s">
        <v>36</v>
      </c>
      <c r="K108" s="6" t="str">
        <f t="array" ref="K108">IFERROR(INDEX('Team Split'!$B$5:$B$8,MATCH(J108,'Team Split'!$A$5:$A$8,0))&amp;"","")</f>
        <v/>
      </c>
      <c r="L108" s="5">
        <v>1.0</v>
      </c>
      <c r="M108" s="5" t="s">
        <v>37</v>
      </c>
      <c r="N108" s="5" t="str">
        <f t="array" ref="N108">IFERROR(INDEX('Team Split'!$F$5:$F$8,MATCH(J108,'Team Split'!$A$5:$A$8,0))&amp;"","")</f>
        <v>C</v>
      </c>
    </row>
    <row r="109" ht="30.75" customHeight="1">
      <c r="A109" s="5">
        <v>108.0</v>
      </c>
      <c r="B109" s="6" t="s">
        <v>322</v>
      </c>
      <c r="C109" s="5">
        <v>97.0</v>
      </c>
      <c r="D109" s="6" t="s">
        <v>146</v>
      </c>
      <c r="E109" s="6" t="s">
        <v>325</v>
      </c>
      <c r="F109" s="6" t="s">
        <v>326</v>
      </c>
      <c r="G109" s="5" t="s">
        <v>297</v>
      </c>
      <c r="H109" s="5" t="s">
        <v>35</v>
      </c>
      <c r="I109" s="5">
        <v>2.0</v>
      </c>
      <c r="J109" s="5" t="s">
        <v>36</v>
      </c>
      <c r="K109" s="6" t="str">
        <f t="array" ref="K109">IFERROR(INDEX('Team Split'!$B$5:$B$8,MATCH(J109,'Team Split'!$A$5:$A$8,0))&amp;"","")</f>
        <v/>
      </c>
      <c r="L109" s="5">
        <v>1.0</v>
      </c>
      <c r="M109" s="5" t="s">
        <v>37</v>
      </c>
      <c r="N109" s="5" t="str">
        <f t="array" ref="N109">IFERROR(INDEX('Team Split'!$F$5:$F$8,MATCH(J109,'Team Split'!$A$5:$A$8,0))&amp;"","")</f>
        <v>C</v>
      </c>
    </row>
    <row r="110" ht="30.75" customHeight="1">
      <c r="A110" s="5">
        <v>109.0</v>
      </c>
      <c r="B110" s="6" t="s">
        <v>322</v>
      </c>
      <c r="C110" s="5" t="s">
        <v>327</v>
      </c>
      <c r="D110" s="6" t="s">
        <v>146</v>
      </c>
      <c r="E110" s="6" t="s">
        <v>328</v>
      </c>
      <c r="F110" s="6" t="s">
        <v>329</v>
      </c>
      <c r="G110" s="5" t="s">
        <v>297</v>
      </c>
      <c r="H110" s="5" t="s">
        <v>35</v>
      </c>
      <c r="I110" s="5">
        <v>2.0</v>
      </c>
      <c r="J110" s="5" t="s">
        <v>36</v>
      </c>
      <c r="K110" s="6" t="str">
        <f t="array" ref="K110">IFERROR(INDEX('Team Split'!$B$5:$B$8,MATCH(J110,'Team Split'!$A$5:$A$8,0))&amp;"","")</f>
        <v/>
      </c>
      <c r="L110" s="5">
        <v>2.0</v>
      </c>
      <c r="M110" s="5" t="s">
        <v>37</v>
      </c>
      <c r="N110" s="5" t="str">
        <f t="array" ref="N110">IFERROR(INDEX('Team Split'!$F$5:$F$8,MATCH(J110,'Team Split'!$A$5:$A$8,0))&amp;"","")</f>
        <v>C</v>
      </c>
    </row>
    <row r="111" ht="30.75" customHeight="1">
      <c r="A111" s="5">
        <v>110.0</v>
      </c>
      <c r="B111" s="6" t="s">
        <v>322</v>
      </c>
      <c r="C111" s="5" t="s">
        <v>327</v>
      </c>
      <c r="D111" s="6" t="s">
        <v>146</v>
      </c>
      <c r="E111" s="6" t="s">
        <v>330</v>
      </c>
      <c r="F111" s="6" t="s">
        <v>331</v>
      </c>
      <c r="G111" s="5" t="s">
        <v>297</v>
      </c>
      <c r="H111" s="5" t="s">
        <v>35</v>
      </c>
      <c r="I111" s="5">
        <v>2.0</v>
      </c>
      <c r="J111" s="5" t="s">
        <v>36</v>
      </c>
      <c r="K111" s="6" t="str">
        <f t="array" ref="K111">IFERROR(INDEX('Team Split'!$B$5:$B$8,MATCH(J111,'Team Split'!$A$5:$A$8,0))&amp;"","")</f>
        <v/>
      </c>
      <c r="L111" s="5">
        <v>1.0</v>
      </c>
      <c r="M111" s="5" t="s">
        <v>37</v>
      </c>
      <c r="N111" s="5" t="str">
        <f t="array" ref="N111">IFERROR(INDEX('Team Split'!$F$5:$F$8,MATCH(J111,'Team Split'!$A$5:$A$8,0))&amp;"","")</f>
        <v>C</v>
      </c>
    </row>
    <row r="112" ht="30.75" customHeight="1">
      <c r="A112" s="5">
        <v>111.0</v>
      </c>
      <c r="B112" s="6" t="s">
        <v>332</v>
      </c>
      <c r="C112" s="5" t="s">
        <v>333</v>
      </c>
      <c r="D112" s="6" t="s">
        <v>72</v>
      </c>
      <c r="E112" s="6" t="s">
        <v>334</v>
      </c>
      <c r="F112" s="6" t="s">
        <v>335</v>
      </c>
      <c r="G112" s="5" t="s">
        <v>55</v>
      </c>
      <c r="H112" s="5" t="s">
        <v>35</v>
      </c>
      <c r="I112" s="5">
        <v>2.0</v>
      </c>
      <c r="J112" s="5" t="s">
        <v>52</v>
      </c>
      <c r="K112" s="6" t="str">
        <f t="array" ref="K112">IFERROR(INDEX('Team Split'!$B$5:$B$8,MATCH(J112,'Team Split'!$A$5:$A$8,0))&amp;"","")</f>
        <v/>
      </c>
      <c r="L112" s="5">
        <v>3.0</v>
      </c>
      <c r="M112" s="5" t="s">
        <v>37</v>
      </c>
      <c r="N112" s="5" t="str">
        <f t="array" ref="N112">IFERROR(INDEX('Team Split'!$F$5:$F$8,MATCH(J112,'Team Split'!$A$5:$A$8,0))&amp;"","")</f>
        <v>B</v>
      </c>
    </row>
    <row r="113" ht="44.25" customHeight="1">
      <c r="A113" s="5">
        <v>112.0</v>
      </c>
      <c r="B113" s="6" t="s">
        <v>332</v>
      </c>
      <c r="C113" s="5">
        <v>111.0</v>
      </c>
      <c r="D113" s="6" t="s">
        <v>72</v>
      </c>
      <c r="E113" s="6" t="s">
        <v>336</v>
      </c>
      <c r="F113" s="6" t="s">
        <v>337</v>
      </c>
      <c r="G113" s="5" t="s">
        <v>55</v>
      </c>
      <c r="H113" s="5" t="s">
        <v>35</v>
      </c>
      <c r="I113" s="5">
        <v>3.0</v>
      </c>
      <c r="J113" s="5" t="s">
        <v>56</v>
      </c>
      <c r="K113" s="6" t="str">
        <f t="array" ref="K113">IFERROR(INDEX('Team Split'!$B$5:$B$8,MATCH(J113,'Team Split'!$A$5:$A$8,0))&amp;"","")</f>
        <v/>
      </c>
      <c r="L113" s="5">
        <v>2.0</v>
      </c>
      <c r="M113" s="5" t="s">
        <v>37</v>
      </c>
      <c r="N113" s="5" t="str">
        <f t="array" ref="N113">IFERROR(INDEX('Team Split'!$F$5:$F$8,MATCH(J113,'Team Split'!$A$5:$A$8,0))&amp;"","")</f>
        <v>A</v>
      </c>
    </row>
    <row r="114" ht="57.75" customHeight="1">
      <c r="A114" s="5">
        <v>113.0</v>
      </c>
      <c r="B114" s="6" t="s">
        <v>332</v>
      </c>
      <c r="C114" s="5">
        <v>111.0</v>
      </c>
      <c r="D114" s="6" t="s">
        <v>72</v>
      </c>
      <c r="E114" s="6" t="s">
        <v>338</v>
      </c>
      <c r="F114" s="6" t="s">
        <v>339</v>
      </c>
      <c r="G114" s="5" t="s">
        <v>55</v>
      </c>
      <c r="H114" s="5" t="s">
        <v>35</v>
      </c>
      <c r="I114" s="5">
        <v>3.0</v>
      </c>
      <c r="J114" s="5" t="s">
        <v>52</v>
      </c>
      <c r="K114" s="6" t="str">
        <f t="array" ref="K114">IFERROR(INDEX('Team Split'!$B$5:$B$8,MATCH(J114,'Team Split'!$A$5:$A$8,0))&amp;"","")</f>
        <v/>
      </c>
      <c r="L114" s="5">
        <v>2.0</v>
      </c>
      <c r="M114" s="5" t="s">
        <v>37</v>
      </c>
      <c r="N114" s="5" t="str">
        <f t="array" ref="N114">IFERROR(INDEX('Team Split'!$F$5:$F$8,MATCH(J114,'Team Split'!$A$5:$A$8,0))&amp;"","")</f>
        <v>B</v>
      </c>
    </row>
    <row r="115" ht="57.75" customHeight="1">
      <c r="A115" s="5">
        <v>114.0</v>
      </c>
      <c r="B115" s="6" t="s">
        <v>332</v>
      </c>
      <c r="C115" s="5">
        <v>111.0</v>
      </c>
      <c r="D115" s="6" t="s">
        <v>72</v>
      </c>
      <c r="E115" s="6" t="s">
        <v>340</v>
      </c>
      <c r="F115" s="6" t="s">
        <v>341</v>
      </c>
      <c r="G115" s="5" t="s">
        <v>55</v>
      </c>
      <c r="H115" s="5" t="s">
        <v>35</v>
      </c>
      <c r="I115" s="5">
        <v>3.0</v>
      </c>
      <c r="J115" s="5" t="s">
        <v>36</v>
      </c>
      <c r="K115" s="6" t="str">
        <f t="array" ref="K115">IFERROR(INDEX('Team Split'!$B$5:$B$8,MATCH(J115,'Team Split'!$A$5:$A$8,0))&amp;"","")</f>
        <v/>
      </c>
      <c r="L115" s="5">
        <v>1.0</v>
      </c>
      <c r="M115" s="5" t="s">
        <v>37</v>
      </c>
      <c r="N115" s="5" t="str">
        <f t="array" ref="N115">IFERROR(INDEX('Team Split'!$F$5:$F$8,MATCH(J115,'Team Split'!$A$5:$A$8,0))&amp;"","")</f>
        <v>C</v>
      </c>
    </row>
    <row r="116" ht="44.25" customHeight="1">
      <c r="A116" s="5">
        <v>115.0</v>
      </c>
      <c r="B116" s="6" t="s">
        <v>332</v>
      </c>
      <c r="C116" s="5">
        <v>111.0</v>
      </c>
      <c r="D116" s="6" t="s">
        <v>72</v>
      </c>
      <c r="E116" s="6" t="s">
        <v>342</v>
      </c>
      <c r="F116" s="6" t="s">
        <v>343</v>
      </c>
      <c r="G116" s="5" t="s">
        <v>55</v>
      </c>
      <c r="H116" s="5" t="s">
        <v>35</v>
      </c>
      <c r="I116" s="5">
        <v>3.0</v>
      </c>
      <c r="J116" s="5" t="s">
        <v>36</v>
      </c>
      <c r="K116" s="6" t="str">
        <f t="array" ref="K116">IFERROR(INDEX('Team Split'!$B$5:$B$8,MATCH(J116,'Team Split'!$A$5:$A$8,0))&amp;"","")</f>
        <v/>
      </c>
      <c r="L116" s="5">
        <v>2.0</v>
      </c>
      <c r="M116" s="5" t="s">
        <v>37</v>
      </c>
      <c r="N116" s="5" t="str">
        <f t="array" ref="N116">IFERROR(INDEX('Team Split'!$F$5:$F$8,MATCH(J116,'Team Split'!$A$5:$A$8,0))&amp;"","")</f>
        <v>C</v>
      </c>
    </row>
    <row r="117" ht="44.25" customHeight="1">
      <c r="A117" s="5">
        <v>116.0</v>
      </c>
      <c r="B117" s="6" t="s">
        <v>332</v>
      </c>
      <c r="C117" s="5">
        <v>111.0</v>
      </c>
      <c r="D117" s="6" t="s">
        <v>72</v>
      </c>
      <c r="E117" s="6" t="s">
        <v>344</v>
      </c>
      <c r="F117" s="6" t="s">
        <v>345</v>
      </c>
      <c r="G117" s="5" t="s">
        <v>55</v>
      </c>
      <c r="H117" s="5" t="s">
        <v>35</v>
      </c>
      <c r="I117" s="5">
        <v>3.0</v>
      </c>
      <c r="J117" s="5" t="s">
        <v>56</v>
      </c>
      <c r="K117" s="6" t="str">
        <f t="array" ref="K117">IFERROR(INDEX('Team Split'!$B$5:$B$8,MATCH(J117,'Team Split'!$A$5:$A$8,0))&amp;"","")</f>
        <v/>
      </c>
      <c r="L117" s="5">
        <v>2.0</v>
      </c>
      <c r="M117" s="5" t="s">
        <v>37</v>
      </c>
      <c r="N117" s="5" t="str">
        <f t="array" ref="N117">IFERROR(INDEX('Team Split'!$F$5:$F$8,MATCH(J117,'Team Split'!$A$5:$A$8,0))&amp;"","")</f>
        <v>A</v>
      </c>
    </row>
    <row r="118" ht="44.25" customHeight="1">
      <c r="A118" s="5">
        <v>117.0</v>
      </c>
      <c r="B118" s="6" t="s">
        <v>332</v>
      </c>
      <c r="C118" s="5">
        <v>111.0</v>
      </c>
      <c r="D118" s="6" t="s">
        <v>72</v>
      </c>
      <c r="E118" s="6" t="s">
        <v>346</v>
      </c>
      <c r="F118" s="6" t="s">
        <v>347</v>
      </c>
      <c r="G118" s="5" t="s">
        <v>55</v>
      </c>
      <c r="H118" s="5" t="s">
        <v>110</v>
      </c>
      <c r="I118" s="5">
        <v>3.0</v>
      </c>
      <c r="J118" s="5" t="s">
        <v>36</v>
      </c>
      <c r="K118" s="6" t="str">
        <f t="array" ref="K118">IFERROR(INDEX('Team Split'!$B$5:$B$8,MATCH(J118,'Team Split'!$A$5:$A$8,0))&amp;"","")</f>
        <v/>
      </c>
      <c r="L118" s="5">
        <v>1.0</v>
      </c>
      <c r="M118" s="5" t="s">
        <v>37</v>
      </c>
      <c r="N118" s="5" t="str">
        <f t="array" ref="N118">IFERROR(INDEX('Team Split'!$F$5:$F$8,MATCH(J118,'Team Split'!$A$5:$A$8,0))&amp;"","")</f>
        <v>C</v>
      </c>
    </row>
    <row r="119" ht="44.25" customHeight="1">
      <c r="A119" s="5">
        <v>118.0</v>
      </c>
      <c r="B119" s="6" t="s">
        <v>332</v>
      </c>
      <c r="C119" s="5">
        <v>111.0</v>
      </c>
      <c r="D119" s="6" t="s">
        <v>72</v>
      </c>
      <c r="E119" s="6" t="s">
        <v>348</v>
      </c>
      <c r="F119" s="6" t="s">
        <v>349</v>
      </c>
      <c r="G119" s="5" t="s">
        <v>55</v>
      </c>
      <c r="H119" s="5" t="s">
        <v>110</v>
      </c>
      <c r="I119" s="5">
        <v>3.0</v>
      </c>
      <c r="J119" s="5" t="s">
        <v>56</v>
      </c>
      <c r="K119" s="6" t="str">
        <f t="array" ref="K119">IFERROR(INDEX('Team Split'!$B$5:$B$8,MATCH(J119,'Team Split'!$A$5:$A$8,0))&amp;"","")</f>
        <v/>
      </c>
      <c r="L119" s="5">
        <v>2.0</v>
      </c>
      <c r="M119" s="5" t="s">
        <v>37</v>
      </c>
      <c r="N119" s="5" t="str">
        <f t="array" ref="N119">IFERROR(INDEX('Team Split'!$F$5:$F$8,MATCH(J119,'Team Split'!$A$5:$A$8,0))&amp;"","")</f>
        <v>A</v>
      </c>
    </row>
    <row r="120" ht="30.75" customHeight="1">
      <c r="A120" s="5">
        <v>119.0</v>
      </c>
      <c r="B120" s="6" t="s">
        <v>332</v>
      </c>
      <c r="C120" s="5" t="s">
        <v>350</v>
      </c>
      <c r="D120" s="6" t="s">
        <v>72</v>
      </c>
      <c r="E120" s="6" t="s">
        <v>351</v>
      </c>
      <c r="F120" s="6" t="s">
        <v>352</v>
      </c>
      <c r="G120" s="5" t="s">
        <v>55</v>
      </c>
      <c r="H120" s="5" t="s">
        <v>35</v>
      </c>
      <c r="I120" s="5">
        <v>2.0</v>
      </c>
      <c r="J120" s="5" t="s">
        <v>56</v>
      </c>
      <c r="K120" s="6" t="str">
        <f t="array" ref="K120">IFERROR(INDEX('Team Split'!$B$5:$B$8,MATCH(J120,'Team Split'!$A$5:$A$8,0))&amp;"","")</f>
        <v/>
      </c>
      <c r="L120" s="5">
        <v>2.0</v>
      </c>
      <c r="M120" s="5" t="s">
        <v>37</v>
      </c>
      <c r="N120" s="5" t="str">
        <f t="array" ref="N120">IFERROR(INDEX('Team Split'!$F$5:$F$8,MATCH(J120,'Team Split'!$A$5:$A$8,0))&amp;"","")</f>
        <v>A</v>
      </c>
    </row>
    <row r="121" ht="17.25" customHeight="1">
      <c r="A121" s="5">
        <v>120.0</v>
      </c>
      <c r="B121" s="6" t="s">
        <v>332</v>
      </c>
      <c r="C121" s="5">
        <v>44.0</v>
      </c>
      <c r="D121" s="6" t="s">
        <v>72</v>
      </c>
      <c r="E121" s="6" t="s">
        <v>353</v>
      </c>
      <c r="F121" s="6" t="s">
        <v>354</v>
      </c>
      <c r="G121" s="5" t="s">
        <v>75</v>
      </c>
      <c r="H121" s="5" t="s">
        <v>110</v>
      </c>
      <c r="I121" s="5">
        <v>3.0</v>
      </c>
      <c r="J121" s="5" t="s">
        <v>149</v>
      </c>
      <c r="K121" s="6" t="str">
        <f t="array" ref="K121">IFERROR(INDEX('Team Split'!$B$5:$B$8,MATCH(J121,'Team Split'!$A$5:$A$8,0))&amp;"","")</f>
        <v/>
      </c>
      <c r="L121" s="5">
        <v>2.0</v>
      </c>
      <c r="M121" s="5" t="s">
        <v>37</v>
      </c>
      <c r="N121" s="5" t="str">
        <f t="array" ref="N121">IFERROR(INDEX('Team Split'!$F$5:$F$8,MATCH(J121,'Team Split'!$A$5:$A$8,0))&amp;"","")</f>
        <v>D</v>
      </c>
    </row>
    <row r="122" ht="57.75" customHeight="1">
      <c r="A122" s="5">
        <v>121.0</v>
      </c>
      <c r="B122" s="6" t="s">
        <v>332</v>
      </c>
      <c r="C122" s="5" t="s">
        <v>30</v>
      </c>
      <c r="D122" s="6" t="s">
        <v>112</v>
      </c>
      <c r="E122" s="6" t="s">
        <v>355</v>
      </c>
      <c r="F122" s="6" t="s">
        <v>356</v>
      </c>
      <c r="G122" s="5" t="s">
        <v>62</v>
      </c>
      <c r="H122" s="5" t="s">
        <v>35</v>
      </c>
      <c r="I122" s="5">
        <v>3.0</v>
      </c>
      <c r="J122" s="5" t="s">
        <v>52</v>
      </c>
      <c r="K122" s="6" t="str">
        <f t="array" ref="K122">IFERROR(INDEX('Team Split'!$B$5:$B$8,MATCH(J122,'Team Split'!$A$5:$A$8,0))&amp;"","")</f>
        <v/>
      </c>
      <c r="L122" s="5">
        <v>1.0</v>
      </c>
      <c r="M122" s="5" t="s">
        <v>37</v>
      </c>
      <c r="N122" s="5" t="str">
        <f t="array" ref="N122">IFERROR(INDEX('Team Split'!$F$5:$F$8,MATCH(J122,'Team Split'!$A$5:$A$8,0))&amp;"","")</f>
        <v>B</v>
      </c>
    </row>
    <row r="123" ht="30.75" customHeight="1">
      <c r="A123" s="5">
        <v>122.0</v>
      </c>
      <c r="B123" s="6" t="s">
        <v>332</v>
      </c>
      <c r="C123" s="5" t="s">
        <v>30</v>
      </c>
      <c r="D123" s="6" t="s">
        <v>112</v>
      </c>
      <c r="E123" s="6" t="s">
        <v>357</v>
      </c>
      <c r="F123" s="6" t="s">
        <v>358</v>
      </c>
      <c r="G123" s="5" t="s">
        <v>75</v>
      </c>
      <c r="H123" s="5" t="s">
        <v>35</v>
      </c>
      <c r="I123" s="5">
        <v>3.0</v>
      </c>
      <c r="J123" s="5" t="s">
        <v>52</v>
      </c>
      <c r="K123" s="6" t="str">
        <f t="array" ref="K123">IFERROR(INDEX('Team Split'!$B$5:$B$8,MATCH(J123,'Team Split'!$A$5:$A$8,0))&amp;"","")</f>
        <v/>
      </c>
      <c r="L123" s="5">
        <v>1.0</v>
      </c>
      <c r="M123" s="5" t="s">
        <v>37</v>
      </c>
      <c r="N123" s="5" t="str">
        <f t="array" ref="N123">IFERROR(INDEX('Team Split'!$F$5:$F$8,MATCH(J123,'Team Split'!$A$5:$A$8,0))&amp;"","")</f>
        <v>B</v>
      </c>
    </row>
    <row r="124" ht="71.25" customHeight="1">
      <c r="A124" s="5">
        <v>123.0</v>
      </c>
      <c r="B124" s="6" t="s">
        <v>332</v>
      </c>
      <c r="C124" s="5" t="s">
        <v>30</v>
      </c>
      <c r="D124" s="6" t="s">
        <v>112</v>
      </c>
      <c r="E124" s="6" t="s">
        <v>359</v>
      </c>
      <c r="F124" s="6" t="s">
        <v>360</v>
      </c>
      <c r="G124" s="5" t="s">
        <v>51</v>
      </c>
      <c r="H124" s="5" t="s">
        <v>35</v>
      </c>
      <c r="I124" s="5">
        <v>3.0</v>
      </c>
      <c r="J124" s="5" t="s">
        <v>52</v>
      </c>
      <c r="K124" s="6" t="str">
        <f t="array" ref="K124">IFERROR(INDEX('Team Split'!$B$5:$B$8,MATCH(J124,'Team Split'!$A$5:$A$8,0))&amp;"","")</f>
        <v/>
      </c>
      <c r="L124" s="5">
        <v>1.0</v>
      </c>
      <c r="M124" s="5" t="s">
        <v>37</v>
      </c>
      <c r="N124" s="5" t="str">
        <f t="array" ref="N124">IFERROR(INDEX('Team Split'!$F$5:$F$8,MATCH(J124,'Team Split'!$A$5:$A$8,0))&amp;"","")</f>
        <v>B</v>
      </c>
    </row>
    <row r="125" ht="30.75" customHeight="1">
      <c r="A125" s="5">
        <v>124.0</v>
      </c>
      <c r="B125" s="6" t="s">
        <v>361</v>
      </c>
      <c r="C125" s="5">
        <v>14.0</v>
      </c>
      <c r="D125" s="6" t="s">
        <v>31</v>
      </c>
      <c r="E125" s="6" t="s">
        <v>362</v>
      </c>
      <c r="F125" s="6" t="s">
        <v>363</v>
      </c>
      <c r="G125" s="5" t="s">
        <v>95</v>
      </c>
      <c r="H125" s="5" t="s">
        <v>96</v>
      </c>
      <c r="I125" s="5">
        <v>3.0</v>
      </c>
      <c r="J125" s="5" t="s">
        <v>56</v>
      </c>
      <c r="K125" s="6" t="str">
        <f t="array" ref="K125">IFERROR(INDEX('Team Split'!$B$5:$B$8,MATCH(J125,'Team Split'!$A$5:$A$8,0))&amp;"","")</f>
        <v/>
      </c>
      <c r="L125" s="5">
        <v>2.0</v>
      </c>
      <c r="M125" s="5" t="s">
        <v>37</v>
      </c>
      <c r="N125" s="5" t="str">
        <f t="array" ref="N125">IFERROR(INDEX('Team Split'!$F$5:$F$8,MATCH(J125,'Team Split'!$A$5:$A$8,0))&amp;"","")</f>
        <v>A</v>
      </c>
    </row>
    <row r="126" ht="30.75" customHeight="1">
      <c r="A126" s="5">
        <v>125.0</v>
      </c>
      <c r="B126" s="6" t="s">
        <v>361</v>
      </c>
      <c r="C126" s="5">
        <v>124.0</v>
      </c>
      <c r="D126" s="6" t="s">
        <v>72</v>
      </c>
      <c r="E126" s="6" t="s">
        <v>364</v>
      </c>
      <c r="F126" s="6" t="s">
        <v>365</v>
      </c>
      <c r="G126" s="5" t="s">
        <v>95</v>
      </c>
      <c r="H126" s="5" t="s">
        <v>96</v>
      </c>
      <c r="I126" s="5">
        <v>3.0</v>
      </c>
      <c r="J126" s="5" t="s">
        <v>56</v>
      </c>
      <c r="K126" s="6" t="str">
        <f t="array" ref="K126">IFERROR(INDEX('Team Split'!$B$5:$B$8,MATCH(J126,'Team Split'!$A$5:$A$8,0))&amp;"","")</f>
        <v/>
      </c>
      <c r="L126" s="5">
        <v>1.0</v>
      </c>
      <c r="M126" s="5" t="s">
        <v>37</v>
      </c>
      <c r="N126" s="5" t="str">
        <f t="array" ref="N126">IFERROR(INDEX('Team Split'!$F$5:$F$8,MATCH(J126,'Team Split'!$A$5:$A$8,0))&amp;"","")</f>
        <v>A</v>
      </c>
    </row>
    <row r="127" ht="30.75" customHeight="1">
      <c r="A127" s="5">
        <v>126.0</v>
      </c>
      <c r="B127" s="6" t="s">
        <v>361</v>
      </c>
      <c r="C127" s="5">
        <v>124.0</v>
      </c>
      <c r="D127" s="6" t="s">
        <v>72</v>
      </c>
      <c r="E127" s="6" t="s">
        <v>366</v>
      </c>
      <c r="F127" s="6" t="s">
        <v>367</v>
      </c>
      <c r="G127" s="5" t="s">
        <v>95</v>
      </c>
      <c r="H127" s="5" t="s">
        <v>96</v>
      </c>
      <c r="I127" s="5">
        <v>3.0</v>
      </c>
      <c r="J127" s="5" t="s">
        <v>56</v>
      </c>
      <c r="K127" s="6" t="str">
        <f t="array" ref="K127">IFERROR(INDEX('Team Split'!$B$5:$B$8,MATCH(J127,'Team Split'!$A$5:$A$8,0))&amp;"","")</f>
        <v/>
      </c>
      <c r="L127" s="5">
        <v>2.0</v>
      </c>
      <c r="M127" s="5" t="s">
        <v>37</v>
      </c>
      <c r="N127" s="5" t="str">
        <f t="array" ref="N127">IFERROR(INDEX('Team Split'!$F$5:$F$8,MATCH(J127,'Team Split'!$A$5:$A$8,0))&amp;"","")</f>
        <v>A</v>
      </c>
    </row>
    <row r="128" ht="30.75" customHeight="1">
      <c r="A128" s="5">
        <v>127.0</v>
      </c>
      <c r="B128" s="6" t="s">
        <v>361</v>
      </c>
      <c r="C128" s="5" t="s">
        <v>368</v>
      </c>
      <c r="D128" s="6" t="s">
        <v>72</v>
      </c>
      <c r="E128" s="6" t="s">
        <v>369</v>
      </c>
      <c r="F128" s="6" t="s">
        <v>370</v>
      </c>
      <c r="G128" s="5" t="s">
        <v>95</v>
      </c>
      <c r="H128" s="5" t="s">
        <v>96</v>
      </c>
      <c r="I128" s="5">
        <v>3.0</v>
      </c>
      <c r="J128" s="5" t="s">
        <v>56</v>
      </c>
      <c r="K128" s="6" t="str">
        <f t="array" ref="K128">IFERROR(INDEX('Team Split'!$B$5:$B$8,MATCH(J128,'Team Split'!$A$5:$A$8,0))&amp;"","")</f>
        <v/>
      </c>
      <c r="L128" s="5">
        <v>2.0</v>
      </c>
      <c r="M128" s="5" t="s">
        <v>37</v>
      </c>
      <c r="N128" s="5" t="str">
        <f t="array" ref="N128">IFERROR(INDEX('Team Split'!$F$5:$F$8,MATCH(J128,'Team Split'!$A$5:$A$8,0))&amp;"","")</f>
        <v>A</v>
      </c>
    </row>
    <row r="129" ht="30.75" customHeight="1">
      <c r="A129" s="5">
        <v>128.0</v>
      </c>
      <c r="B129" s="6" t="s">
        <v>361</v>
      </c>
      <c r="C129" s="5">
        <v>127.0</v>
      </c>
      <c r="D129" s="6" t="s">
        <v>72</v>
      </c>
      <c r="E129" s="6" t="s">
        <v>371</v>
      </c>
      <c r="F129" s="6" t="s">
        <v>372</v>
      </c>
      <c r="G129" s="5" t="s">
        <v>95</v>
      </c>
      <c r="H129" s="5" t="s">
        <v>96</v>
      </c>
      <c r="I129" s="5">
        <v>3.0</v>
      </c>
      <c r="J129" s="5" t="s">
        <v>56</v>
      </c>
      <c r="K129" s="6" t="str">
        <f t="array" ref="K129">IFERROR(INDEX('Team Split'!$B$5:$B$8,MATCH(J129,'Team Split'!$A$5:$A$8,0))&amp;"","")</f>
        <v/>
      </c>
      <c r="L129" s="5">
        <v>1.0</v>
      </c>
      <c r="M129" s="5" t="s">
        <v>37</v>
      </c>
      <c r="N129" s="5" t="str">
        <f t="array" ref="N129">IFERROR(INDEX('Team Split'!$F$5:$F$8,MATCH(J129,'Team Split'!$A$5:$A$8,0))&amp;"","")</f>
        <v>A</v>
      </c>
    </row>
    <row r="130" ht="30.75" customHeight="1">
      <c r="A130" s="5">
        <v>129.0</v>
      </c>
      <c r="B130" s="6" t="s">
        <v>361</v>
      </c>
      <c r="C130" s="5">
        <v>125.0</v>
      </c>
      <c r="D130" s="6" t="s">
        <v>146</v>
      </c>
      <c r="E130" s="6" t="s">
        <v>373</v>
      </c>
      <c r="F130" s="6" t="s">
        <v>374</v>
      </c>
      <c r="G130" s="5" t="s">
        <v>95</v>
      </c>
      <c r="H130" s="5" t="s">
        <v>96</v>
      </c>
      <c r="I130" s="5">
        <v>3.0</v>
      </c>
      <c r="J130" s="5" t="s">
        <v>56</v>
      </c>
      <c r="K130" s="6" t="str">
        <f t="array" ref="K130">IFERROR(INDEX('Team Split'!$B$5:$B$8,MATCH(J130,'Team Split'!$A$5:$A$8,0))&amp;"","")</f>
        <v/>
      </c>
      <c r="L130" s="5">
        <v>1.0</v>
      </c>
      <c r="M130" s="5" t="s">
        <v>37</v>
      </c>
      <c r="N130" s="5" t="str">
        <f t="array" ref="N130">IFERROR(INDEX('Team Split'!$F$5:$F$8,MATCH(J130,'Team Split'!$A$5:$A$8,0))&amp;"","")</f>
        <v>A</v>
      </c>
    </row>
    <row r="131" ht="44.25" customHeight="1">
      <c r="A131" s="5">
        <v>130.0</v>
      </c>
      <c r="B131" s="6" t="s">
        <v>375</v>
      </c>
      <c r="C131" s="5" t="s">
        <v>376</v>
      </c>
      <c r="D131" s="6" t="s">
        <v>112</v>
      </c>
      <c r="E131" s="6" t="s">
        <v>377</v>
      </c>
      <c r="F131" s="6" t="s">
        <v>378</v>
      </c>
      <c r="G131" s="5" t="s">
        <v>270</v>
      </c>
      <c r="H131" s="5" t="s">
        <v>35</v>
      </c>
      <c r="I131" s="5">
        <v>3.0</v>
      </c>
      <c r="J131" s="5" t="s">
        <v>149</v>
      </c>
      <c r="K131" s="6" t="str">
        <f t="array" ref="K131">IFERROR(INDEX('Team Split'!$B$5:$B$8,MATCH(J131,'Team Split'!$A$5:$A$8,0))&amp;"","")</f>
        <v/>
      </c>
      <c r="L131" s="5">
        <v>2.0</v>
      </c>
      <c r="M131" s="5" t="s">
        <v>37</v>
      </c>
      <c r="N131" s="5" t="str">
        <f t="array" ref="N131">IFERROR(INDEX('Team Split'!$F$5:$F$8,MATCH(J131,'Team Split'!$A$5:$A$8,0))&amp;"","")</f>
        <v>D</v>
      </c>
    </row>
    <row r="132" ht="44.25" customHeight="1">
      <c r="A132" s="5">
        <v>131.0</v>
      </c>
      <c r="B132" s="6" t="s">
        <v>375</v>
      </c>
      <c r="C132" s="5" t="s">
        <v>30</v>
      </c>
      <c r="D132" s="6" t="s">
        <v>112</v>
      </c>
      <c r="E132" s="6" t="s">
        <v>379</v>
      </c>
      <c r="F132" s="6" t="s">
        <v>380</v>
      </c>
      <c r="G132" s="5" t="s">
        <v>40</v>
      </c>
      <c r="H132" s="5" t="s">
        <v>35</v>
      </c>
      <c r="I132" s="5">
        <v>4.0</v>
      </c>
      <c r="J132" s="5" t="s">
        <v>149</v>
      </c>
      <c r="K132" s="6" t="str">
        <f t="array" ref="K132">IFERROR(INDEX('Team Split'!$B$5:$B$8,MATCH(J132,'Team Split'!$A$5:$A$8,0))&amp;"","")</f>
        <v/>
      </c>
      <c r="L132" s="5">
        <v>2.0</v>
      </c>
      <c r="M132" s="5" t="s">
        <v>37</v>
      </c>
      <c r="N132" s="5" t="str">
        <f t="array" ref="N132">IFERROR(INDEX('Team Split'!$F$5:$F$8,MATCH(J132,'Team Split'!$A$5:$A$8,0))&amp;"","")</f>
        <v>D</v>
      </c>
    </row>
    <row r="133" ht="30.75" customHeight="1">
      <c r="A133" s="5">
        <v>132.0</v>
      </c>
      <c r="B133" s="6" t="s">
        <v>375</v>
      </c>
      <c r="C133" s="5" t="s">
        <v>30</v>
      </c>
      <c r="D133" s="6" t="s">
        <v>112</v>
      </c>
      <c r="E133" s="6" t="s">
        <v>381</v>
      </c>
      <c r="F133" s="6" t="s">
        <v>382</v>
      </c>
      <c r="G133" s="5" t="s">
        <v>40</v>
      </c>
      <c r="H133" s="5" t="s">
        <v>35</v>
      </c>
      <c r="I133" s="5">
        <v>4.0</v>
      </c>
      <c r="J133" s="5" t="s">
        <v>149</v>
      </c>
      <c r="K133" s="6" t="str">
        <f t="array" ref="K133">IFERROR(INDEX('Team Split'!$B$5:$B$8,MATCH(J133,'Team Split'!$A$5:$A$8,0))&amp;"","")</f>
        <v/>
      </c>
      <c r="L133" s="5">
        <v>2.0</v>
      </c>
      <c r="M133" s="5" t="s">
        <v>37</v>
      </c>
      <c r="N133" s="5" t="str">
        <f t="array" ref="N133">IFERROR(INDEX('Team Split'!$F$5:$F$8,MATCH(J133,'Team Split'!$A$5:$A$8,0))&amp;"","")</f>
        <v>D</v>
      </c>
    </row>
    <row r="134" ht="30.75" customHeight="1">
      <c r="A134" s="5">
        <v>133.0</v>
      </c>
      <c r="B134" s="6" t="s">
        <v>383</v>
      </c>
      <c r="C134" s="5" t="s">
        <v>30</v>
      </c>
      <c r="D134" s="6" t="s">
        <v>112</v>
      </c>
      <c r="E134" s="6" t="s">
        <v>384</v>
      </c>
      <c r="F134" s="6" t="s">
        <v>385</v>
      </c>
      <c r="G134" s="5" t="s">
        <v>81</v>
      </c>
      <c r="H134" s="5" t="s">
        <v>35</v>
      </c>
      <c r="I134" s="5">
        <v>4.0</v>
      </c>
      <c r="J134" s="5" t="s">
        <v>52</v>
      </c>
      <c r="K134" s="6" t="str">
        <f t="array" ref="K134">IFERROR(INDEX('Team Split'!$B$5:$B$8,MATCH(J134,'Team Split'!$A$5:$A$8,0))&amp;"","")</f>
        <v/>
      </c>
      <c r="L134" s="5">
        <v>1.0</v>
      </c>
      <c r="M134" s="5" t="s">
        <v>37</v>
      </c>
      <c r="N134" s="5" t="str">
        <f t="array" ref="N134">IFERROR(INDEX('Team Split'!$F$5:$F$8,MATCH(J134,'Team Split'!$A$5:$A$8,0))&amp;"","")</f>
        <v>B</v>
      </c>
    </row>
    <row r="135" ht="30.75" customHeight="1">
      <c r="A135" s="5">
        <v>134.0</v>
      </c>
      <c r="B135" s="6" t="s">
        <v>383</v>
      </c>
      <c r="C135" s="5">
        <v>133.0</v>
      </c>
      <c r="D135" s="6" t="s">
        <v>112</v>
      </c>
      <c r="E135" s="6" t="s">
        <v>386</v>
      </c>
      <c r="F135" s="6" t="s">
        <v>387</v>
      </c>
      <c r="G135" s="5" t="s">
        <v>81</v>
      </c>
      <c r="H135" s="5" t="s">
        <v>35</v>
      </c>
      <c r="I135" s="5">
        <v>4.0</v>
      </c>
      <c r="J135" s="5" t="s">
        <v>52</v>
      </c>
      <c r="K135" s="6" t="str">
        <f t="array" ref="K135">IFERROR(INDEX('Team Split'!$B$5:$B$8,MATCH(J135,'Team Split'!$A$5:$A$8,0))&amp;"","")</f>
        <v/>
      </c>
      <c r="L135" s="5">
        <v>1.0</v>
      </c>
      <c r="M135" s="5" t="s">
        <v>37</v>
      </c>
      <c r="N135" s="5" t="str">
        <f t="array" ref="N135">IFERROR(INDEX('Team Split'!$F$5:$F$8,MATCH(J135,'Team Split'!$A$5:$A$8,0))&amp;"","")</f>
        <v>B</v>
      </c>
    </row>
    <row r="136" ht="57.75" customHeight="1">
      <c r="A136" s="5">
        <v>135.0</v>
      </c>
      <c r="B136" s="6" t="s">
        <v>383</v>
      </c>
      <c r="C136" s="5">
        <v>133.0</v>
      </c>
      <c r="D136" s="6" t="s">
        <v>112</v>
      </c>
      <c r="E136" s="6" t="s">
        <v>388</v>
      </c>
      <c r="F136" s="6" t="s">
        <v>389</v>
      </c>
      <c r="G136" s="5" t="s">
        <v>81</v>
      </c>
      <c r="H136" s="5" t="s">
        <v>35</v>
      </c>
      <c r="I136" s="5">
        <v>4.0</v>
      </c>
      <c r="J136" s="5" t="s">
        <v>56</v>
      </c>
      <c r="K136" s="6" t="str">
        <f t="array" ref="K136">IFERROR(INDEX('Team Split'!$B$5:$B$8,MATCH(J136,'Team Split'!$A$5:$A$8,0))&amp;"","")</f>
        <v/>
      </c>
      <c r="L136" s="5">
        <v>3.0</v>
      </c>
      <c r="M136" s="5" t="s">
        <v>37</v>
      </c>
      <c r="N136" s="5" t="str">
        <f t="array" ref="N136">IFERROR(INDEX('Team Split'!$F$5:$F$8,MATCH(J136,'Team Split'!$A$5:$A$8,0))&amp;"","")</f>
        <v>A</v>
      </c>
    </row>
    <row r="137" ht="30.75" customHeight="1">
      <c r="A137" s="5">
        <v>136.0</v>
      </c>
      <c r="B137" s="6" t="s">
        <v>383</v>
      </c>
      <c r="C137" s="5" t="s">
        <v>390</v>
      </c>
      <c r="D137" s="6" t="s">
        <v>112</v>
      </c>
      <c r="E137" s="6" t="s">
        <v>391</v>
      </c>
      <c r="F137" s="6" t="s">
        <v>392</v>
      </c>
      <c r="G137" s="5" t="s">
        <v>81</v>
      </c>
      <c r="H137" s="5" t="s">
        <v>35</v>
      </c>
      <c r="I137" s="5">
        <v>4.0</v>
      </c>
      <c r="J137" s="5" t="s">
        <v>56</v>
      </c>
      <c r="K137" s="6" t="str">
        <f t="array" ref="K137">IFERROR(INDEX('Team Split'!$B$5:$B$8,MATCH(J137,'Team Split'!$A$5:$A$8,0))&amp;"","")</f>
        <v/>
      </c>
      <c r="L137" s="5">
        <v>2.0</v>
      </c>
      <c r="M137" s="5" t="s">
        <v>37</v>
      </c>
      <c r="N137" s="5" t="str">
        <f t="array" ref="N137">IFERROR(INDEX('Team Split'!$F$5:$F$8,MATCH(J137,'Team Split'!$A$5:$A$8,0))&amp;"","")</f>
        <v>A</v>
      </c>
    </row>
    <row r="138" ht="30.75" customHeight="1">
      <c r="A138" s="5">
        <v>137.0</v>
      </c>
      <c r="B138" s="6" t="s">
        <v>383</v>
      </c>
      <c r="C138" s="5">
        <v>136.0</v>
      </c>
      <c r="D138" s="6" t="s">
        <v>112</v>
      </c>
      <c r="E138" s="6" t="s">
        <v>393</v>
      </c>
      <c r="F138" s="6" t="s">
        <v>394</v>
      </c>
      <c r="G138" s="5" t="s">
        <v>81</v>
      </c>
      <c r="H138" s="5" t="s">
        <v>35</v>
      </c>
      <c r="I138" s="5">
        <v>4.0</v>
      </c>
      <c r="J138" s="5" t="s">
        <v>56</v>
      </c>
      <c r="K138" s="6" t="str">
        <f t="array" ref="K138">IFERROR(INDEX('Team Split'!$B$5:$B$8,MATCH(J138,'Team Split'!$A$5:$A$8,0))&amp;"","")</f>
        <v/>
      </c>
      <c r="L138" s="5">
        <v>1.0</v>
      </c>
      <c r="M138" s="5" t="s">
        <v>37</v>
      </c>
      <c r="N138" s="5" t="str">
        <f t="array" ref="N138">IFERROR(INDEX('Team Split'!$F$5:$F$8,MATCH(J138,'Team Split'!$A$5:$A$8,0))&amp;"","")</f>
        <v>A</v>
      </c>
    </row>
    <row r="139" ht="30.75" customHeight="1">
      <c r="A139" s="5">
        <v>138.0</v>
      </c>
      <c r="B139" s="6" t="s">
        <v>395</v>
      </c>
      <c r="C139" s="5" t="s">
        <v>30</v>
      </c>
      <c r="D139" s="6" t="s">
        <v>112</v>
      </c>
      <c r="E139" s="6" t="s">
        <v>396</v>
      </c>
      <c r="F139" s="6" t="s">
        <v>397</v>
      </c>
      <c r="G139" s="5" t="s">
        <v>40</v>
      </c>
      <c r="H139" s="5" t="s">
        <v>35</v>
      </c>
      <c r="I139" s="5">
        <v>4.0</v>
      </c>
      <c r="J139" s="5" t="s">
        <v>52</v>
      </c>
      <c r="K139" s="6" t="str">
        <f t="array" ref="K139">IFERROR(INDEX('Team Split'!$B$5:$B$8,MATCH(J139,'Team Split'!$A$5:$A$8,0))&amp;"","")</f>
        <v/>
      </c>
      <c r="L139" s="5">
        <v>1.0</v>
      </c>
      <c r="M139" s="5" t="s">
        <v>37</v>
      </c>
      <c r="N139" s="5" t="str">
        <f t="array" ref="N139">IFERROR(INDEX('Team Split'!$F$5:$F$8,MATCH(J139,'Team Split'!$A$5:$A$8,0))&amp;"","")</f>
        <v>B</v>
      </c>
    </row>
    <row r="140" ht="30.75" customHeight="1">
      <c r="A140" s="5">
        <v>139.0</v>
      </c>
      <c r="B140" s="6" t="s">
        <v>395</v>
      </c>
      <c r="C140" s="5">
        <v>2.0</v>
      </c>
      <c r="D140" s="6" t="s">
        <v>112</v>
      </c>
      <c r="E140" s="6" t="s">
        <v>398</v>
      </c>
      <c r="F140" s="6" t="s">
        <v>399</v>
      </c>
      <c r="G140" s="5" t="s">
        <v>40</v>
      </c>
      <c r="H140" s="5" t="s">
        <v>35</v>
      </c>
      <c r="I140" s="5">
        <v>4.0</v>
      </c>
      <c r="J140" s="5" t="s">
        <v>36</v>
      </c>
      <c r="K140" s="6" t="str">
        <f t="array" ref="K140">IFERROR(INDEX('Team Split'!$B$5:$B$8,MATCH(J140,'Team Split'!$A$5:$A$8,0))&amp;"","")</f>
        <v/>
      </c>
      <c r="L140" s="5">
        <v>2.0</v>
      </c>
      <c r="M140" s="5" t="s">
        <v>37</v>
      </c>
      <c r="N140" s="5" t="str">
        <f t="array" ref="N140">IFERROR(INDEX('Team Split'!$F$5:$F$8,MATCH(J140,'Team Split'!$A$5:$A$8,0))&amp;"","")</f>
        <v>C</v>
      </c>
    </row>
    <row r="141" ht="44.25" customHeight="1">
      <c r="A141" s="5">
        <v>140.0</v>
      </c>
      <c r="B141" s="6" t="s">
        <v>395</v>
      </c>
      <c r="C141" s="5">
        <v>139.0</v>
      </c>
      <c r="D141" s="6" t="s">
        <v>112</v>
      </c>
      <c r="E141" s="6" t="s">
        <v>400</v>
      </c>
      <c r="F141" s="6" t="s">
        <v>401</v>
      </c>
      <c r="G141" s="5" t="s">
        <v>40</v>
      </c>
      <c r="H141" s="5" t="s">
        <v>35</v>
      </c>
      <c r="I141" s="5">
        <v>4.0</v>
      </c>
      <c r="J141" s="5" t="s">
        <v>36</v>
      </c>
      <c r="K141" s="6" t="str">
        <f t="array" ref="K141">IFERROR(INDEX('Team Split'!$B$5:$B$8,MATCH(J141,'Team Split'!$A$5:$A$8,0))&amp;"","")</f>
        <v/>
      </c>
      <c r="L141" s="5">
        <v>1.0</v>
      </c>
      <c r="M141" s="5" t="s">
        <v>37</v>
      </c>
      <c r="N141" s="5" t="str">
        <f t="array" ref="N141">IFERROR(INDEX('Team Split'!$F$5:$F$8,MATCH(J141,'Team Split'!$A$5:$A$8,0))&amp;"","")</f>
        <v>C</v>
      </c>
    </row>
    <row r="142" ht="30.75" customHeight="1">
      <c r="A142" s="5">
        <v>141.0</v>
      </c>
      <c r="B142" s="6" t="s">
        <v>395</v>
      </c>
      <c r="C142" s="5">
        <v>140.0</v>
      </c>
      <c r="D142" s="6" t="s">
        <v>112</v>
      </c>
      <c r="E142" s="6" t="s">
        <v>402</v>
      </c>
      <c r="F142" s="6" t="s">
        <v>403</v>
      </c>
      <c r="G142" s="5" t="s">
        <v>40</v>
      </c>
      <c r="H142" s="5" t="s">
        <v>35</v>
      </c>
      <c r="I142" s="5">
        <v>4.0</v>
      </c>
      <c r="J142" s="5" t="s">
        <v>36</v>
      </c>
      <c r="K142" s="6" t="str">
        <f t="array" ref="K142">IFERROR(INDEX('Team Split'!$B$5:$B$8,MATCH(J142,'Team Split'!$A$5:$A$8,0))&amp;"","")</f>
        <v/>
      </c>
      <c r="L142" s="5">
        <v>1.0</v>
      </c>
      <c r="M142" s="5" t="s">
        <v>37</v>
      </c>
      <c r="N142" s="5" t="str">
        <f t="array" ref="N142">IFERROR(INDEX('Team Split'!$F$5:$F$8,MATCH(J142,'Team Split'!$A$5:$A$8,0))&amp;"","")</f>
        <v>C</v>
      </c>
    </row>
    <row r="143" ht="30.75" customHeight="1">
      <c r="A143" s="5">
        <v>142.0</v>
      </c>
      <c r="B143" s="6" t="s">
        <v>395</v>
      </c>
      <c r="C143" s="5">
        <v>141.0</v>
      </c>
      <c r="D143" s="6" t="s">
        <v>112</v>
      </c>
      <c r="E143" s="6" t="s">
        <v>404</v>
      </c>
      <c r="F143" s="6" t="s">
        <v>405</v>
      </c>
      <c r="G143" s="5" t="s">
        <v>40</v>
      </c>
      <c r="H143" s="5" t="s">
        <v>35</v>
      </c>
      <c r="I143" s="5">
        <v>4.0</v>
      </c>
      <c r="J143" s="5" t="s">
        <v>36</v>
      </c>
      <c r="K143" s="6" t="str">
        <f t="array" ref="K143">IFERROR(INDEX('Team Split'!$B$5:$B$8,MATCH(J143,'Team Split'!$A$5:$A$8,0))&amp;"","")</f>
        <v/>
      </c>
      <c r="L143" s="5">
        <v>1.0</v>
      </c>
      <c r="M143" s="5" t="s">
        <v>37</v>
      </c>
      <c r="N143" s="5" t="str">
        <f t="array" ref="N143">IFERROR(INDEX('Team Split'!$F$5:$F$8,MATCH(J143,'Team Split'!$A$5:$A$8,0))&amp;"","")</f>
        <v>C</v>
      </c>
    </row>
    <row r="144" ht="15.75" customHeight="1">
      <c r="K144" s="7" t="s">
        <v>406</v>
      </c>
      <c r="L144" s="7">
        <f>SUM(L2:L143)</f>
        <v>262</v>
      </c>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43"/>
  <conditionalFormatting sqref="M2:M143">
    <cfRule type="expression" dxfId="0" priority="1">
      <formula>$M2="In progress"</formula>
    </cfRule>
  </conditionalFormatting>
  <conditionalFormatting sqref="M2:M143">
    <cfRule type="expression" dxfId="1" priority="2">
      <formula>$M2="Done"</formula>
    </cfRule>
  </conditionalFormatting>
  <conditionalFormatting sqref="M2:M143">
    <cfRule type="expression" dxfId="2" priority="3">
      <formula>$M2="Tested"</formula>
    </cfRule>
  </conditionalFormatting>
  <conditionalFormatting sqref="M2:M143">
    <cfRule type="expression" dxfId="3" priority="4">
      <formula>$M2="Blocked"</formula>
    </cfRule>
  </conditionalFormatting>
  <conditionalFormatting sqref="H2:H143">
    <cfRule type="expression" dxfId="4" priority="5">
      <formula>$H2="Bonus"</formula>
    </cfRule>
  </conditionalFormatting>
  <conditionalFormatting sqref="H2:H143">
    <cfRule type="expression" dxfId="5" priority="6">
      <formula>$H2="Optional"</formula>
    </cfRule>
  </conditionalFormatting>
  <conditionalFormatting sqref="H2:H143">
    <cfRule type="expression" dxfId="5" priority="7">
      <formula>$H2="Dev aid"</formula>
    </cfRule>
  </conditionalFormatting>
  <dataValidations>
    <dataValidation type="list" allowBlank="1" sqref="I2:I143">
      <formula1>"1,2,3,4"</formula1>
    </dataValidation>
    <dataValidation type="list" allowBlank="1" sqref="J2:J143">
      <formula1>"A,B,C,D"</formula1>
    </dataValidation>
    <dataValidation type="list" allowBlank="1" sqref="M2:M143">
      <formula1>"Not started,In progress,Done,Tested,Blocked"</formula1>
    </dataValidation>
    <dataValidation type="list" allowBlank="1" sqref="H2:H143">
      <formula1>"Must,Bonus,Optional,Dev aid"</formula1>
    </dataValidation>
  </dataValidation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8.0"/>
    <col customWidth="1" min="2" max="2" width="20.0"/>
    <col customWidth="1" min="3" max="3" width="60.0"/>
    <col customWidth="1" min="4" max="4" width="46.0"/>
    <col customWidth="1" min="5" max="6" width="8.0"/>
    <col customWidth="1" min="7" max="7" width="10.0"/>
    <col customWidth="1" min="8" max="8" width="13.0"/>
    <col customWidth="1" min="9" max="26" width="8.63"/>
  </cols>
  <sheetData>
    <row r="1">
      <c r="A1" s="1" t="s">
        <v>407</v>
      </c>
    </row>
    <row r="2">
      <c r="A2" s="8" t="s">
        <v>408</v>
      </c>
    </row>
    <row r="4">
      <c r="A4" s="4" t="s">
        <v>15</v>
      </c>
      <c r="B4" s="4" t="s">
        <v>409</v>
      </c>
      <c r="C4" s="4" t="s">
        <v>410</v>
      </c>
      <c r="D4" s="4" t="s">
        <v>411</v>
      </c>
      <c r="E4" s="4" t="s">
        <v>23</v>
      </c>
      <c r="F4" s="4" t="s">
        <v>24</v>
      </c>
      <c r="G4" s="4" t="s">
        <v>22</v>
      </c>
      <c r="H4" s="4" t="s">
        <v>27</v>
      </c>
    </row>
    <row r="5" ht="30.75" customHeight="1">
      <c r="A5" s="5" t="s">
        <v>412</v>
      </c>
      <c r="B5" s="6" t="s">
        <v>413</v>
      </c>
      <c r="C5" s="6" t="s">
        <v>414</v>
      </c>
      <c r="D5" s="6" t="s">
        <v>415</v>
      </c>
      <c r="E5" s="5">
        <v>1.0</v>
      </c>
      <c r="F5" s="5" t="s">
        <v>36</v>
      </c>
      <c r="G5" s="5" t="s">
        <v>35</v>
      </c>
      <c r="H5" s="5" t="s">
        <v>37</v>
      </c>
    </row>
    <row r="6" ht="30.75" customHeight="1">
      <c r="A6" s="5" t="s">
        <v>416</v>
      </c>
      <c r="B6" s="6" t="s">
        <v>417</v>
      </c>
      <c r="C6" s="6" t="s">
        <v>418</v>
      </c>
      <c r="D6" s="6" t="s">
        <v>419</v>
      </c>
      <c r="E6" s="5">
        <v>4.0</v>
      </c>
      <c r="F6" s="5" t="s">
        <v>36</v>
      </c>
      <c r="G6" s="5" t="s">
        <v>35</v>
      </c>
      <c r="H6" s="5" t="s">
        <v>37</v>
      </c>
    </row>
    <row r="7" ht="17.25" customHeight="1">
      <c r="A7" s="5" t="s">
        <v>420</v>
      </c>
      <c r="B7" s="6" t="s">
        <v>421</v>
      </c>
      <c r="C7" s="6" t="s">
        <v>422</v>
      </c>
      <c r="D7" s="6" t="s">
        <v>423</v>
      </c>
      <c r="E7" s="5">
        <v>3.0</v>
      </c>
      <c r="F7" s="5" t="s">
        <v>36</v>
      </c>
      <c r="G7" s="5" t="s">
        <v>35</v>
      </c>
      <c r="H7" s="5" t="s">
        <v>37</v>
      </c>
    </row>
    <row r="8" ht="30.75" customHeight="1">
      <c r="A8" s="5" t="s">
        <v>424</v>
      </c>
      <c r="B8" s="6" t="s">
        <v>421</v>
      </c>
      <c r="C8" s="6" t="s">
        <v>425</v>
      </c>
      <c r="D8" s="6" t="s">
        <v>426</v>
      </c>
      <c r="E8" s="5">
        <v>1.0</v>
      </c>
      <c r="F8" s="5" t="s">
        <v>36</v>
      </c>
      <c r="G8" s="5" t="s">
        <v>35</v>
      </c>
      <c r="H8" s="5" t="s">
        <v>37</v>
      </c>
    </row>
    <row r="9" ht="30.75" customHeight="1">
      <c r="A9" s="5" t="s">
        <v>427</v>
      </c>
      <c r="B9" s="6" t="s">
        <v>428</v>
      </c>
      <c r="C9" s="6" t="s">
        <v>429</v>
      </c>
      <c r="D9" s="6" t="s">
        <v>430</v>
      </c>
      <c r="E9" s="5">
        <v>1.0</v>
      </c>
      <c r="F9" s="5" t="s">
        <v>36</v>
      </c>
      <c r="G9" s="5" t="s">
        <v>35</v>
      </c>
      <c r="H9" s="5" t="s">
        <v>37</v>
      </c>
    </row>
    <row r="10" ht="30.75" customHeight="1">
      <c r="A10" s="5" t="s">
        <v>431</v>
      </c>
      <c r="B10" s="6" t="s">
        <v>432</v>
      </c>
      <c r="C10" s="6" t="s">
        <v>433</v>
      </c>
      <c r="D10" s="6" t="s">
        <v>434</v>
      </c>
      <c r="E10" s="5">
        <v>4.0</v>
      </c>
      <c r="F10" s="5" t="s">
        <v>149</v>
      </c>
      <c r="G10" s="5" t="s">
        <v>35</v>
      </c>
      <c r="H10" s="5" t="s">
        <v>37</v>
      </c>
    </row>
    <row r="11" ht="30.75" customHeight="1">
      <c r="A11" s="5" t="s">
        <v>435</v>
      </c>
      <c r="B11" s="6" t="s">
        <v>436</v>
      </c>
      <c r="C11" s="6" t="s">
        <v>437</v>
      </c>
      <c r="D11" s="6" t="s">
        <v>438</v>
      </c>
      <c r="E11" s="5">
        <v>4.0</v>
      </c>
      <c r="F11" s="5" t="s">
        <v>149</v>
      </c>
      <c r="G11" s="5" t="s">
        <v>35</v>
      </c>
      <c r="H11" s="5" t="s">
        <v>37</v>
      </c>
    </row>
    <row r="12" ht="30.75" customHeight="1">
      <c r="A12" s="5" t="s">
        <v>439</v>
      </c>
      <c r="B12" s="6" t="s">
        <v>440</v>
      </c>
      <c r="C12" s="6" t="s">
        <v>441</v>
      </c>
      <c r="D12" s="6" t="s">
        <v>442</v>
      </c>
      <c r="E12" s="5">
        <v>2.0</v>
      </c>
      <c r="F12" s="5" t="s">
        <v>56</v>
      </c>
      <c r="G12" s="5" t="s">
        <v>35</v>
      </c>
      <c r="H12" s="5" t="s">
        <v>37</v>
      </c>
    </row>
    <row r="13" ht="30.75" customHeight="1">
      <c r="A13" s="5" t="s">
        <v>443</v>
      </c>
      <c r="B13" s="6" t="s">
        <v>444</v>
      </c>
      <c r="C13" s="6" t="s">
        <v>445</v>
      </c>
      <c r="D13" s="6" t="s">
        <v>446</v>
      </c>
      <c r="E13" s="5">
        <v>1.0</v>
      </c>
      <c r="F13" s="5" t="s">
        <v>36</v>
      </c>
      <c r="G13" s="5" t="s">
        <v>35</v>
      </c>
      <c r="H13" s="5" t="s">
        <v>37</v>
      </c>
    </row>
    <row r="14" ht="57.75" customHeight="1">
      <c r="A14" s="5" t="s">
        <v>447</v>
      </c>
      <c r="B14" s="6" t="s">
        <v>448</v>
      </c>
      <c r="C14" s="6" t="s">
        <v>449</v>
      </c>
      <c r="D14" s="6" t="s">
        <v>450</v>
      </c>
      <c r="E14" s="5">
        <v>1.0</v>
      </c>
      <c r="F14" s="5" t="s">
        <v>451</v>
      </c>
      <c r="G14" s="5" t="s">
        <v>35</v>
      </c>
      <c r="H14" s="5" t="s">
        <v>37</v>
      </c>
    </row>
    <row r="15" ht="30.75" customHeight="1">
      <c r="A15" s="5" t="s">
        <v>452</v>
      </c>
      <c r="B15" s="6" t="s">
        <v>453</v>
      </c>
      <c r="C15" s="6" t="s">
        <v>454</v>
      </c>
      <c r="D15" s="6" t="s">
        <v>455</v>
      </c>
      <c r="E15" s="5">
        <v>1.0</v>
      </c>
      <c r="F15" s="5" t="s">
        <v>451</v>
      </c>
      <c r="G15" s="5" t="s">
        <v>35</v>
      </c>
      <c r="H15" s="5" t="s">
        <v>37</v>
      </c>
    </row>
    <row r="16" ht="30.75" customHeight="1">
      <c r="A16" s="5" t="s">
        <v>456</v>
      </c>
      <c r="B16" s="6" t="s">
        <v>457</v>
      </c>
      <c r="C16" s="6" t="s">
        <v>458</v>
      </c>
      <c r="D16" s="6" t="s">
        <v>459</v>
      </c>
      <c r="E16" s="5">
        <v>2.0</v>
      </c>
      <c r="F16" s="5" t="s">
        <v>56</v>
      </c>
      <c r="G16" s="5" t="s">
        <v>35</v>
      </c>
      <c r="H16" s="5" t="s">
        <v>37</v>
      </c>
    </row>
    <row r="17" ht="30.75" customHeight="1">
      <c r="A17" s="5" t="s">
        <v>460</v>
      </c>
      <c r="B17" s="6" t="s">
        <v>461</v>
      </c>
      <c r="C17" s="6" t="s">
        <v>462</v>
      </c>
      <c r="D17" s="6" t="s">
        <v>463</v>
      </c>
      <c r="E17" s="5">
        <v>2.0</v>
      </c>
      <c r="F17" s="5" t="s">
        <v>56</v>
      </c>
      <c r="G17" s="5" t="s">
        <v>35</v>
      </c>
      <c r="H17" s="5" t="s">
        <v>37</v>
      </c>
    </row>
    <row r="18" ht="30.75" customHeight="1">
      <c r="A18" s="5" t="s">
        <v>464</v>
      </c>
      <c r="B18" s="6" t="s">
        <v>465</v>
      </c>
      <c r="C18" s="6" t="s">
        <v>466</v>
      </c>
      <c r="D18" s="6" t="s">
        <v>467</v>
      </c>
      <c r="E18" s="5">
        <v>3.0</v>
      </c>
      <c r="F18" s="5" t="s">
        <v>56</v>
      </c>
      <c r="G18" s="5" t="s">
        <v>110</v>
      </c>
      <c r="H18" s="5" t="s">
        <v>37</v>
      </c>
    </row>
    <row r="19" ht="30.75" customHeight="1">
      <c r="A19" s="5" t="s">
        <v>468</v>
      </c>
      <c r="B19" s="6" t="s">
        <v>469</v>
      </c>
      <c r="C19" s="6" t="s">
        <v>470</v>
      </c>
      <c r="D19" s="6" t="s">
        <v>471</v>
      </c>
      <c r="E19" s="5">
        <v>2.0</v>
      </c>
      <c r="F19" s="5" t="s">
        <v>56</v>
      </c>
      <c r="G19" s="5" t="s">
        <v>35</v>
      </c>
      <c r="H19" s="5" t="s">
        <v>37</v>
      </c>
    </row>
    <row r="20" ht="30.75" customHeight="1">
      <c r="A20" s="5" t="s">
        <v>472</v>
      </c>
      <c r="B20" s="6" t="s">
        <v>473</v>
      </c>
      <c r="C20" s="6" t="s">
        <v>474</v>
      </c>
      <c r="D20" s="6" t="s">
        <v>475</v>
      </c>
      <c r="E20" s="5">
        <v>3.0</v>
      </c>
      <c r="F20" s="5" t="s">
        <v>56</v>
      </c>
      <c r="G20" s="5" t="s">
        <v>35</v>
      </c>
      <c r="H20" s="5" t="s">
        <v>37</v>
      </c>
    </row>
    <row r="21" ht="30.75" customHeight="1">
      <c r="A21" s="5" t="s">
        <v>476</v>
      </c>
      <c r="B21" s="6" t="s">
        <v>477</v>
      </c>
      <c r="C21" s="6" t="s">
        <v>478</v>
      </c>
      <c r="D21" s="6" t="s">
        <v>479</v>
      </c>
      <c r="E21" s="5">
        <v>3.0</v>
      </c>
      <c r="F21" s="5" t="s">
        <v>52</v>
      </c>
      <c r="G21" s="5" t="s">
        <v>35</v>
      </c>
      <c r="H21" s="5" t="s">
        <v>37</v>
      </c>
    </row>
    <row r="22" ht="30.75" customHeight="1">
      <c r="A22" s="5" t="s">
        <v>480</v>
      </c>
      <c r="B22" s="6" t="s">
        <v>481</v>
      </c>
      <c r="C22" s="6" t="s">
        <v>482</v>
      </c>
      <c r="D22" s="6" t="s">
        <v>483</v>
      </c>
      <c r="E22" s="5">
        <v>3.0</v>
      </c>
      <c r="F22" s="5" t="s">
        <v>52</v>
      </c>
      <c r="G22" s="5" t="s">
        <v>35</v>
      </c>
      <c r="H22" s="5" t="s">
        <v>37</v>
      </c>
    </row>
    <row r="23" ht="30.75" customHeight="1">
      <c r="A23" s="5" t="s">
        <v>484</v>
      </c>
      <c r="B23" s="6" t="s">
        <v>485</v>
      </c>
      <c r="C23" s="6" t="s">
        <v>486</v>
      </c>
      <c r="D23" s="6" t="s">
        <v>487</v>
      </c>
      <c r="E23" s="5">
        <v>2.0</v>
      </c>
      <c r="F23" s="5" t="s">
        <v>56</v>
      </c>
      <c r="G23" s="5" t="s">
        <v>110</v>
      </c>
      <c r="H23" s="5" t="s">
        <v>37</v>
      </c>
    </row>
    <row r="24" ht="44.25" customHeight="1">
      <c r="A24" s="5" t="s">
        <v>488</v>
      </c>
      <c r="B24" s="6" t="s">
        <v>489</v>
      </c>
      <c r="C24" s="6" t="s">
        <v>490</v>
      </c>
      <c r="D24" s="6" t="s">
        <v>491</v>
      </c>
      <c r="E24" s="5">
        <v>3.0</v>
      </c>
      <c r="F24" s="5" t="s">
        <v>56</v>
      </c>
      <c r="G24" s="5" t="s">
        <v>35</v>
      </c>
      <c r="H24" s="5" t="s">
        <v>37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5:H24">
    <cfRule type="expression" dxfId="0" priority="1">
      <formula>$H5="In progress"</formula>
    </cfRule>
  </conditionalFormatting>
  <conditionalFormatting sqref="H5:H24">
    <cfRule type="expression" dxfId="1" priority="2">
      <formula>$H5="Done"</formula>
    </cfRule>
  </conditionalFormatting>
  <conditionalFormatting sqref="H5:H24">
    <cfRule type="expression" dxfId="2" priority="3">
      <formula>$H5="Tested"</formula>
    </cfRule>
  </conditionalFormatting>
  <conditionalFormatting sqref="H5:H24">
    <cfRule type="expression" dxfId="3" priority="4">
      <formula>$H5="Blocked"</formula>
    </cfRule>
  </conditionalFormatting>
  <dataValidations>
    <dataValidation type="list" allowBlank="1" sqref="H5:H24">
      <formula1>"Not started,In progress,Done,Tested,Blocked"</formula1>
    </dataValidation>
  </dataValidation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0.0"/>
    <col customWidth="1" min="2" max="2" width="20.0"/>
    <col customWidth="1" min="3" max="3" width="24.0"/>
    <col customWidth="1" min="4" max="4" width="62.0"/>
    <col customWidth="1" min="5" max="5" width="40.0"/>
    <col customWidth="1" min="6" max="6" width="14.0"/>
    <col customWidth="1" min="7" max="8" width="9.0"/>
    <col customWidth="1" min="9" max="9" width="10.0"/>
    <col customWidth="1" min="10" max="10" width="9.0"/>
    <col customWidth="1" min="11" max="26" width="8.63"/>
  </cols>
  <sheetData>
    <row r="1">
      <c r="A1" s="1" t="s">
        <v>492</v>
      </c>
    </row>
    <row r="2">
      <c r="A2" s="8" t="s">
        <v>493</v>
      </c>
    </row>
    <row r="4">
      <c r="A4" s="4" t="s">
        <v>494</v>
      </c>
      <c r="B4" s="4" t="s">
        <v>495</v>
      </c>
      <c r="C4" s="4" t="s">
        <v>496</v>
      </c>
      <c r="D4" s="4" t="s">
        <v>497</v>
      </c>
      <c r="E4" s="4" t="s">
        <v>498</v>
      </c>
      <c r="F4" s="4" t="s">
        <v>499</v>
      </c>
    </row>
    <row r="5" ht="57.75" customHeight="1">
      <c r="A5" s="5" t="s">
        <v>36</v>
      </c>
      <c r="B5" s="9"/>
      <c r="C5" s="6" t="s">
        <v>500</v>
      </c>
      <c r="D5" s="6" t="s">
        <v>501</v>
      </c>
      <c r="E5" s="6" t="s">
        <v>502</v>
      </c>
      <c r="F5" s="5" t="s">
        <v>56</v>
      </c>
    </row>
    <row r="6" ht="57.75" customHeight="1">
      <c r="A6" s="5" t="s">
        <v>149</v>
      </c>
      <c r="B6" s="9"/>
      <c r="C6" s="6" t="s">
        <v>503</v>
      </c>
      <c r="D6" s="6" t="s">
        <v>504</v>
      </c>
      <c r="E6" s="6" t="s">
        <v>505</v>
      </c>
      <c r="F6" s="5" t="s">
        <v>52</v>
      </c>
    </row>
    <row r="7" ht="57.75" customHeight="1">
      <c r="A7" s="5" t="s">
        <v>56</v>
      </c>
      <c r="B7" s="9"/>
      <c r="C7" s="6" t="s">
        <v>506</v>
      </c>
      <c r="D7" s="6" t="s">
        <v>507</v>
      </c>
      <c r="E7" s="6" t="s">
        <v>508</v>
      </c>
      <c r="F7" s="5" t="s">
        <v>36</v>
      </c>
    </row>
    <row r="8" ht="57.75" customHeight="1">
      <c r="A8" s="5" t="s">
        <v>52</v>
      </c>
      <c r="B8" s="9"/>
      <c r="C8" s="6" t="s">
        <v>509</v>
      </c>
      <c r="D8" s="6" t="s">
        <v>510</v>
      </c>
      <c r="E8" s="6" t="s">
        <v>511</v>
      </c>
      <c r="F8" s="5" t="s">
        <v>149</v>
      </c>
    </row>
    <row r="10">
      <c r="A10" s="10" t="s">
        <v>512</v>
      </c>
    </row>
    <row r="11">
      <c r="A11" s="4" t="s">
        <v>494</v>
      </c>
      <c r="B11" s="4" t="s">
        <v>513</v>
      </c>
      <c r="C11" s="4" t="s">
        <v>514</v>
      </c>
      <c r="D11" s="4" t="s">
        <v>515</v>
      </c>
      <c r="E11" s="4" t="s">
        <v>516</v>
      </c>
      <c r="F11" s="4" t="s">
        <v>517</v>
      </c>
      <c r="G11" s="4" t="s">
        <v>518</v>
      </c>
      <c r="H11" s="4" t="s">
        <v>519</v>
      </c>
      <c r="I11" s="4" t="s">
        <v>520</v>
      </c>
      <c r="J11" s="4" t="s">
        <v>521</v>
      </c>
    </row>
    <row r="12">
      <c r="A12" s="5" t="s">
        <v>36</v>
      </c>
      <c r="B12" s="5">
        <f>SUMIFS('Functional Requirements'!$L:$L,'Functional Requirements'!$J:$J,$A12,'Functional Requirements'!$I:$I,1)</f>
        <v>25</v>
      </c>
      <c r="C12" s="5">
        <f>SUMIFS('Functional Requirements'!$L:$L,'Functional Requirements'!$J:$J,$A12,'Functional Requirements'!$I:$I,2)</f>
        <v>26</v>
      </c>
      <c r="D12" s="5">
        <f>SUMIFS('Functional Requirements'!$L:$L,'Functional Requirements'!$J:$J,$A12,'Functional Requirements'!$I:$I,3)</f>
        <v>12</v>
      </c>
      <c r="E12" s="5">
        <f>SUMIFS('Functional Requirements'!$L:$L,'Functional Requirements'!$J:$J,$A12,'Functional Requirements'!$I:$I,4)</f>
        <v>5</v>
      </c>
      <c r="F12" s="5">
        <f t="shared" ref="F12:F15" si="1">SUM(B12:E12)</f>
        <v>68</v>
      </c>
      <c r="G12" s="5">
        <f>COUNTIF('Functional Requirements'!$J:$J,$A12)</f>
        <v>39</v>
      </c>
      <c r="H12" s="11">
        <f t="shared" ref="H12:H15" si="2">IFERROR(F12/$F$16,0)</f>
        <v>0.2595419847</v>
      </c>
      <c r="I12" s="5">
        <f>SUMIFS('Functional Requirements'!$L:$L,'Functional Requirements'!$J:$J,$A12,'Functional Requirements'!$M:$M,"Done")+SUMIFS('Functional Requirements'!$L:$L,'Functional Requirements'!$J:$J,$A12,'Functional Requirements'!$M:$M,"Tested")</f>
        <v>0</v>
      </c>
      <c r="J12" s="11">
        <f t="shared" ref="J12:J16" si="3">IFERROR(I12/F12,0)</f>
        <v>0</v>
      </c>
    </row>
    <row r="13">
      <c r="A13" s="5" t="s">
        <v>149</v>
      </c>
      <c r="B13" s="5">
        <f>SUMIFS('Functional Requirements'!$L:$L,'Functional Requirements'!$J:$J,$A13,'Functional Requirements'!$I:$I,1)</f>
        <v>18</v>
      </c>
      <c r="C13" s="5">
        <f>SUMIFS('Functional Requirements'!$L:$L,'Functional Requirements'!$J:$J,$A13,'Functional Requirements'!$I:$I,2)</f>
        <v>33</v>
      </c>
      <c r="D13" s="5">
        <f>SUMIFS('Functional Requirements'!$L:$L,'Functional Requirements'!$J:$J,$A13,'Functional Requirements'!$I:$I,3)</f>
        <v>10</v>
      </c>
      <c r="E13" s="5">
        <f>SUMIFS('Functional Requirements'!$L:$L,'Functional Requirements'!$J:$J,$A13,'Functional Requirements'!$I:$I,4)</f>
        <v>4</v>
      </c>
      <c r="F13" s="5">
        <f t="shared" si="1"/>
        <v>65</v>
      </c>
      <c r="G13" s="5">
        <f>COUNTIF('Functional Requirements'!$J:$J,$A13)</f>
        <v>35</v>
      </c>
      <c r="H13" s="11">
        <f t="shared" si="2"/>
        <v>0.2480916031</v>
      </c>
      <c r="I13" s="5">
        <f>SUMIFS('Functional Requirements'!$L:$L,'Functional Requirements'!$J:$J,$A13,'Functional Requirements'!$M:$M,"Done")+SUMIFS('Functional Requirements'!$L:$L,'Functional Requirements'!$J:$J,$A13,'Functional Requirements'!$M:$M,"Tested")</f>
        <v>0</v>
      </c>
      <c r="J13" s="11">
        <f t="shared" si="3"/>
        <v>0</v>
      </c>
    </row>
    <row r="14">
      <c r="A14" s="5" t="s">
        <v>56</v>
      </c>
      <c r="B14" s="5">
        <f>SUMIFS('Functional Requirements'!$L:$L,'Functional Requirements'!$J:$J,$A14,'Functional Requirements'!$I:$I,1)</f>
        <v>20</v>
      </c>
      <c r="C14" s="5">
        <f>SUMIFS('Functional Requirements'!$L:$L,'Functional Requirements'!$J:$J,$A14,'Functional Requirements'!$I:$I,2)</f>
        <v>22</v>
      </c>
      <c r="D14" s="5">
        <f>SUMIFS('Functional Requirements'!$L:$L,'Functional Requirements'!$J:$J,$A14,'Functional Requirements'!$I:$I,3)</f>
        <v>18</v>
      </c>
      <c r="E14" s="5">
        <f>SUMIFS('Functional Requirements'!$L:$L,'Functional Requirements'!$J:$J,$A14,'Functional Requirements'!$I:$I,4)</f>
        <v>6</v>
      </c>
      <c r="F14" s="5">
        <f t="shared" si="1"/>
        <v>66</v>
      </c>
      <c r="G14" s="5">
        <f>COUNTIF('Functional Requirements'!$J:$J,$A14)</f>
        <v>40</v>
      </c>
      <c r="H14" s="11">
        <f t="shared" si="2"/>
        <v>0.2519083969</v>
      </c>
      <c r="I14" s="5">
        <f>SUMIFS('Functional Requirements'!$L:$L,'Functional Requirements'!$J:$J,$A14,'Functional Requirements'!$M:$M,"Done")+SUMIFS('Functional Requirements'!$L:$L,'Functional Requirements'!$J:$J,$A14,'Functional Requirements'!$M:$M,"Tested")</f>
        <v>0</v>
      </c>
      <c r="J14" s="11">
        <f t="shared" si="3"/>
        <v>0</v>
      </c>
    </row>
    <row r="15">
      <c r="A15" s="5" t="s">
        <v>52</v>
      </c>
      <c r="B15" s="5">
        <f>SUMIFS('Functional Requirements'!$L:$L,'Functional Requirements'!$J:$J,$A15,'Functional Requirements'!$I:$I,1)</f>
        <v>15</v>
      </c>
      <c r="C15" s="5">
        <f>SUMIFS('Functional Requirements'!$L:$L,'Functional Requirements'!$J:$J,$A15,'Functional Requirements'!$I:$I,2)</f>
        <v>27</v>
      </c>
      <c r="D15" s="5">
        <f>SUMIFS('Functional Requirements'!$L:$L,'Functional Requirements'!$J:$J,$A15,'Functional Requirements'!$I:$I,3)</f>
        <v>18</v>
      </c>
      <c r="E15" s="5">
        <f>SUMIFS('Functional Requirements'!$L:$L,'Functional Requirements'!$J:$J,$A15,'Functional Requirements'!$I:$I,4)</f>
        <v>3</v>
      </c>
      <c r="F15" s="5">
        <f t="shared" si="1"/>
        <v>63</v>
      </c>
      <c r="G15" s="5">
        <f>COUNTIF('Functional Requirements'!$J:$J,$A15)</f>
        <v>28</v>
      </c>
      <c r="H15" s="11">
        <f t="shared" si="2"/>
        <v>0.2404580153</v>
      </c>
      <c r="I15" s="5">
        <f>SUMIFS('Functional Requirements'!$L:$L,'Functional Requirements'!$J:$J,$A15,'Functional Requirements'!$M:$M,"Done")+SUMIFS('Functional Requirements'!$L:$L,'Functional Requirements'!$J:$J,$A15,'Functional Requirements'!$M:$M,"Tested")</f>
        <v>0</v>
      </c>
      <c r="J15" s="11">
        <f t="shared" si="3"/>
        <v>0</v>
      </c>
    </row>
    <row r="16">
      <c r="A16" s="12" t="s">
        <v>406</v>
      </c>
      <c r="B16" s="12">
        <f t="shared" ref="B16:I16" si="4">SUM(B12:B15)</f>
        <v>78</v>
      </c>
      <c r="C16" s="12">
        <f t="shared" si="4"/>
        <v>108</v>
      </c>
      <c r="D16" s="12">
        <f t="shared" si="4"/>
        <v>58</v>
      </c>
      <c r="E16" s="12">
        <f t="shared" si="4"/>
        <v>18</v>
      </c>
      <c r="F16" s="12">
        <f t="shared" si="4"/>
        <v>262</v>
      </c>
      <c r="G16" s="12">
        <f t="shared" si="4"/>
        <v>142</v>
      </c>
      <c r="H16" s="13">
        <f t="shared" si="4"/>
        <v>1</v>
      </c>
      <c r="I16" s="12">
        <f t="shared" si="4"/>
        <v>0</v>
      </c>
      <c r="J16" s="13">
        <f t="shared" si="3"/>
        <v>0</v>
      </c>
    </row>
    <row r="17">
      <c r="A17" s="14" t="s">
        <v>522</v>
      </c>
    </row>
    <row r="19">
      <c r="A19" s="10" t="s">
        <v>523</v>
      </c>
    </row>
    <row r="20" ht="17.25" customHeight="1">
      <c r="A20" s="4" t="s">
        <v>23</v>
      </c>
      <c r="B20" s="4" t="s">
        <v>524</v>
      </c>
      <c r="C20" s="15" t="s">
        <v>525</v>
      </c>
      <c r="D20" s="16"/>
      <c r="E20" s="15" t="s">
        <v>526</v>
      </c>
      <c r="F20" s="16"/>
    </row>
    <row r="21" ht="44.25" customHeight="1">
      <c r="A21" s="5">
        <v>1.0</v>
      </c>
      <c r="B21" s="6" t="s">
        <v>527</v>
      </c>
      <c r="C21" s="17" t="s">
        <v>528</v>
      </c>
      <c r="D21" s="16"/>
      <c r="E21" s="17" t="s">
        <v>529</v>
      </c>
      <c r="F21" s="16"/>
    </row>
    <row r="22" ht="44.25" customHeight="1">
      <c r="A22" s="5">
        <v>2.0</v>
      </c>
      <c r="B22" s="6" t="s">
        <v>530</v>
      </c>
      <c r="C22" s="17" t="s">
        <v>531</v>
      </c>
      <c r="D22" s="16"/>
      <c r="E22" s="17" t="s">
        <v>532</v>
      </c>
      <c r="F22" s="16"/>
    </row>
    <row r="23" ht="44.25" customHeight="1">
      <c r="A23" s="5">
        <v>3.0</v>
      </c>
      <c r="B23" s="6" t="s">
        <v>533</v>
      </c>
      <c r="C23" s="17" t="s">
        <v>534</v>
      </c>
      <c r="D23" s="16"/>
      <c r="E23" s="17" t="s">
        <v>535</v>
      </c>
      <c r="F23" s="16"/>
    </row>
    <row r="24" ht="30.75" customHeight="1">
      <c r="A24" s="5">
        <v>4.0</v>
      </c>
      <c r="B24" s="6" t="s">
        <v>536</v>
      </c>
      <c r="C24" s="17" t="s">
        <v>537</v>
      </c>
      <c r="D24" s="16"/>
      <c r="E24" s="17" t="s">
        <v>538</v>
      </c>
      <c r="F24" s="16"/>
    </row>
    <row r="25" ht="15.75" customHeight="1"/>
    <row r="26" ht="15.75" customHeight="1"/>
    <row r="27" ht="15.75" customHeight="1">
      <c r="A27" s="10" t="s">
        <v>539</v>
      </c>
    </row>
    <row r="28" ht="30.0" customHeight="1">
      <c r="A28" s="18" t="s">
        <v>540</v>
      </c>
    </row>
    <row r="29" ht="30.0" customHeight="1">
      <c r="A29" s="18" t="s">
        <v>541</v>
      </c>
    </row>
    <row r="30" ht="30.0" customHeight="1">
      <c r="A30" s="18" t="s">
        <v>542</v>
      </c>
    </row>
    <row r="31" ht="30.0" customHeight="1">
      <c r="A31" s="18" t="s">
        <v>543</v>
      </c>
    </row>
    <row r="32" ht="30.0" customHeight="1">
      <c r="A32" s="18" t="s">
        <v>544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3:D23"/>
    <mergeCell ref="C24:D24"/>
    <mergeCell ref="A28:F28"/>
    <mergeCell ref="A29:F29"/>
    <mergeCell ref="A30:F30"/>
    <mergeCell ref="A31:F31"/>
    <mergeCell ref="A32:F32"/>
    <mergeCell ref="C20:D20"/>
    <mergeCell ref="E20:F20"/>
    <mergeCell ref="C21:D21"/>
    <mergeCell ref="E21:F21"/>
    <mergeCell ref="C22:D22"/>
    <mergeCell ref="E22:F22"/>
    <mergeCell ref="E23:F23"/>
    <mergeCell ref="E24:F24"/>
  </mergeCell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0"/>
    <col customWidth="1" min="2" max="2" width="16.0"/>
    <col customWidth="1" min="3" max="3" width="26.0"/>
    <col customWidth="1" min="4" max="5" width="9.0"/>
    <col customWidth="1" min="6" max="6" width="12.0"/>
    <col customWidth="1" min="7" max="7" width="20.0"/>
    <col customWidth="1" min="8" max="9" width="44.0"/>
    <col customWidth="1" min="10" max="10" width="30.0"/>
    <col customWidth="1" min="11" max="26" width="8.63"/>
  </cols>
  <sheetData>
    <row r="1">
      <c r="A1" s="1" t="s">
        <v>545</v>
      </c>
    </row>
    <row r="2" ht="43.5" customHeight="1">
      <c r="A2" s="19" t="s">
        <v>546</v>
      </c>
    </row>
    <row r="4">
      <c r="A4" s="4" t="s">
        <v>547</v>
      </c>
      <c r="B4" s="4" t="s">
        <v>548</v>
      </c>
      <c r="C4" s="4" t="s">
        <v>549</v>
      </c>
      <c r="D4" s="4" t="s">
        <v>550</v>
      </c>
      <c r="E4" s="4" t="s">
        <v>551</v>
      </c>
      <c r="F4" s="4" t="s">
        <v>552</v>
      </c>
      <c r="G4" s="4" t="s">
        <v>553</v>
      </c>
      <c r="H4" s="4" t="s">
        <v>554</v>
      </c>
      <c r="I4" s="4" t="s">
        <v>555</v>
      </c>
      <c r="J4" s="4" t="s">
        <v>556</v>
      </c>
    </row>
    <row r="5" ht="44.25" customHeight="1">
      <c r="A5" s="6" t="s">
        <v>557</v>
      </c>
      <c r="B5" s="6" t="s">
        <v>558</v>
      </c>
      <c r="C5" s="6" t="s">
        <v>559</v>
      </c>
      <c r="D5" s="5" t="s">
        <v>560</v>
      </c>
      <c r="E5" s="5" t="s">
        <v>561</v>
      </c>
      <c r="F5" s="5" t="s">
        <v>562</v>
      </c>
      <c r="G5" s="6" t="s">
        <v>563</v>
      </c>
      <c r="H5" s="6" t="s">
        <v>564</v>
      </c>
      <c r="I5" s="6" t="s">
        <v>565</v>
      </c>
      <c r="J5" s="6" t="s">
        <v>566</v>
      </c>
    </row>
    <row r="6" ht="44.25" customHeight="1">
      <c r="A6" s="6" t="s">
        <v>567</v>
      </c>
      <c r="B6" s="6" t="s">
        <v>568</v>
      </c>
      <c r="C6" s="6" t="s">
        <v>569</v>
      </c>
      <c r="D6" s="5" t="s">
        <v>560</v>
      </c>
      <c r="E6" s="5" t="s">
        <v>561</v>
      </c>
      <c r="F6" s="5" t="s">
        <v>562</v>
      </c>
      <c r="G6" s="6" t="s">
        <v>570</v>
      </c>
      <c r="H6" s="6" t="s">
        <v>571</v>
      </c>
      <c r="I6" s="6" t="s">
        <v>572</v>
      </c>
      <c r="J6" s="6" t="s">
        <v>573</v>
      </c>
    </row>
    <row r="7" ht="44.25" customHeight="1">
      <c r="A7" s="6" t="s">
        <v>574</v>
      </c>
      <c r="B7" s="6" t="s">
        <v>575</v>
      </c>
      <c r="C7" s="6" t="s">
        <v>576</v>
      </c>
      <c r="D7" s="5" t="s">
        <v>577</v>
      </c>
      <c r="E7" s="5" t="s">
        <v>578</v>
      </c>
      <c r="F7" s="5" t="s">
        <v>579</v>
      </c>
      <c r="G7" s="6" t="s">
        <v>580</v>
      </c>
      <c r="H7" s="6" t="s">
        <v>581</v>
      </c>
      <c r="I7" s="6" t="s">
        <v>582</v>
      </c>
      <c r="J7" s="6" t="s">
        <v>583</v>
      </c>
    </row>
    <row r="8" ht="44.25" customHeight="1">
      <c r="A8" s="6" t="s">
        <v>584</v>
      </c>
      <c r="B8" s="6" t="s">
        <v>585</v>
      </c>
      <c r="C8" s="6" t="s">
        <v>586</v>
      </c>
      <c r="D8" s="5" t="s">
        <v>560</v>
      </c>
      <c r="E8" s="5" t="s">
        <v>561</v>
      </c>
      <c r="F8" s="5" t="s">
        <v>562</v>
      </c>
      <c r="G8" s="6" t="s">
        <v>587</v>
      </c>
      <c r="H8" s="6" t="s">
        <v>588</v>
      </c>
      <c r="I8" s="6" t="s">
        <v>589</v>
      </c>
      <c r="J8" s="6" t="s">
        <v>590</v>
      </c>
    </row>
    <row r="9" ht="30.75" customHeight="1">
      <c r="A9" s="6" t="s">
        <v>591</v>
      </c>
      <c r="B9" s="6" t="s">
        <v>592</v>
      </c>
      <c r="C9" s="6" t="s">
        <v>593</v>
      </c>
      <c r="D9" s="5" t="s">
        <v>560</v>
      </c>
      <c r="E9" s="5" t="s">
        <v>561</v>
      </c>
      <c r="F9" s="5" t="s">
        <v>562</v>
      </c>
      <c r="G9" s="6" t="s">
        <v>587</v>
      </c>
      <c r="H9" s="6" t="s">
        <v>594</v>
      </c>
      <c r="I9" s="6" t="s">
        <v>595</v>
      </c>
      <c r="J9" s="6" t="s">
        <v>596</v>
      </c>
    </row>
    <row r="10" ht="30.75" customHeight="1">
      <c r="A10" s="6" t="s">
        <v>597</v>
      </c>
      <c r="B10" s="6" t="s">
        <v>598</v>
      </c>
      <c r="C10" s="6" t="s">
        <v>599</v>
      </c>
      <c r="D10" s="5" t="s">
        <v>600</v>
      </c>
      <c r="E10" s="5" t="s">
        <v>601</v>
      </c>
      <c r="F10" s="5" t="s">
        <v>602</v>
      </c>
      <c r="G10" s="6" t="s">
        <v>587</v>
      </c>
      <c r="H10" s="6" t="s">
        <v>603</v>
      </c>
      <c r="I10" s="6" t="s">
        <v>604</v>
      </c>
      <c r="J10" s="6" t="s">
        <v>605</v>
      </c>
    </row>
    <row r="11" ht="44.25" customHeight="1">
      <c r="A11" s="6" t="s">
        <v>606</v>
      </c>
      <c r="B11" s="6" t="s">
        <v>607</v>
      </c>
      <c r="C11" s="6" t="s">
        <v>30</v>
      </c>
      <c r="D11" s="5" t="s">
        <v>30</v>
      </c>
      <c r="E11" s="5" t="s">
        <v>30</v>
      </c>
      <c r="F11" s="5" t="s">
        <v>30</v>
      </c>
      <c r="G11" s="6" t="s">
        <v>30</v>
      </c>
      <c r="H11" s="6" t="s">
        <v>608</v>
      </c>
      <c r="I11" s="6" t="s">
        <v>609</v>
      </c>
      <c r="J11" s="6" t="s">
        <v>610</v>
      </c>
    </row>
    <row r="13">
      <c r="A13" s="10" t="s">
        <v>611</v>
      </c>
    </row>
    <row r="14" ht="17.25" customHeight="1">
      <c r="A14" s="4" t="s">
        <v>612</v>
      </c>
      <c r="B14" s="4" t="s">
        <v>613</v>
      </c>
      <c r="C14" s="15" t="s">
        <v>614</v>
      </c>
      <c r="D14" s="20"/>
      <c r="E14" s="20"/>
      <c r="F14" s="20"/>
      <c r="G14" s="16"/>
      <c r="H14" s="4" t="s">
        <v>615</v>
      </c>
      <c r="I14" s="4" t="s">
        <v>24</v>
      </c>
    </row>
    <row r="15" ht="17.25" customHeight="1">
      <c r="A15" s="5">
        <v>1.0</v>
      </c>
      <c r="B15" s="6" t="s">
        <v>616</v>
      </c>
      <c r="C15" s="17" t="s">
        <v>617</v>
      </c>
      <c r="D15" s="20"/>
      <c r="E15" s="20"/>
      <c r="F15" s="20"/>
      <c r="G15" s="16"/>
      <c r="H15" s="6" t="s">
        <v>618</v>
      </c>
      <c r="I15" s="5" t="s">
        <v>56</v>
      </c>
    </row>
    <row r="16" ht="17.25" customHeight="1">
      <c r="A16" s="5">
        <v>2.0</v>
      </c>
      <c r="B16" s="6" t="s">
        <v>619</v>
      </c>
      <c r="C16" s="17" t="s">
        <v>620</v>
      </c>
      <c r="D16" s="20"/>
      <c r="E16" s="20"/>
      <c r="F16" s="20"/>
      <c r="G16" s="16"/>
      <c r="H16" s="6" t="s">
        <v>621</v>
      </c>
      <c r="I16" s="5" t="s">
        <v>52</v>
      </c>
    </row>
    <row r="17" ht="30.75" customHeight="1">
      <c r="A17" s="5">
        <v>3.0</v>
      </c>
      <c r="B17" s="6" t="s">
        <v>622</v>
      </c>
      <c r="C17" s="17" t="s">
        <v>623</v>
      </c>
      <c r="D17" s="20"/>
      <c r="E17" s="20"/>
      <c r="F17" s="20"/>
      <c r="G17" s="16"/>
      <c r="H17" s="6" t="s">
        <v>624</v>
      </c>
      <c r="I17" s="5" t="s">
        <v>36</v>
      </c>
    </row>
    <row r="18" ht="30.75" customHeight="1">
      <c r="A18" s="5">
        <v>4.0</v>
      </c>
      <c r="B18" s="6" t="s">
        <v>625</v>
      </c>
      <c r="C18" s="17" t="s">
        <v>626</v>
      </c>
      <c r="D18" s="20"/>
      <c r="E18" s="20"/>
      <c r="F18" s="20"/>
      <c r="G18" s="16"/>
      <c r="H18" s="6" t="s">
        <v>627</v>
      </c>
      <c r="I18" s="5" t="s">
        <v>36</v>
      </c>
    </row>
    <row r="19" ht="44.25" customHeight="1">
      <c r="A19" s="5">
        <v>5.0</v>
      </c>
      <c r="B19" s="6" t="s">
        <v>628</v>
      </c>
      <c r="C19" s="17" t="s">
        <v>629</v>
      </c>
      <c r="D19" s="20"/>
      <c r="E19" s="20"/>
      <c r="F19" s="20"/>
      <c r="G19" s="16"/>
      <c r="H19" s="6" t="s">
        <v>630</v>
      </c>
      <c r="I19" s="5" t="s">
        <v>56</v>
      </c>
    </row>
    <row r="20" ht="30.75" customHeight="1">
      <c r="A20" s="5">
        <v>6.0</v>
      </c>
      <c r="B20" s="6" t="s">
        <v>631</v>
      </c>
      <c r="C20" s="17" t="s">
        <v>632</v>
      </c>
      <c r="D20" s="20"/>
      <c r="E20" s="20"/>
      <c r="F20" s="20"/>
      <c r="G20" s="16"/>
      <c r="H20" s="6" t="s">
        <v>633</v>
      </c>
      <c r="I20" s="5" t="s">
        <v>36</v>
      </c>
    </row>
    <row r="21" ht="30.75" customHeight="1">
      <c r="A21" s="5">
        <v>7.0</v>
      </c>
      <c r="B21" s="6" t="s">
        <v>634</v>
      </c>
      <c r="C21" s="17" t="s">
        <v>635</v>
      </c>
      <c r="D21" s="20"/>
      <c r="E21" s="20"/>
      <c r="F21" s="20"/>
      <c r="G21" s="16"/>
      <c r="H21" s="6" t="s">
        <v>636</v>
      </c>
      <c r="I21" s="5" t="s">
        <v>56</v>
      </c>
    </row>
    <row r="22" ht="30.75" customHeight="1">
      <c r="A22" s="5" t="s">
        <v>30</v>
      </c>
      <c r="B22" s="6" t="s">
        <v>637</v>
      </c>
      <c r="C22" s="17" t="s">
        <v>638</v>
      </c>
      <c r="D22" s="20"/>
      <c r="E22" s="20"/>
      <c r="F22" s="20"/>
      <c r="G22" s="16"/>
      <c r="H22" s="6" t="s">
        <v>639</v>
      </c>
      <c r="I22" s="5" t="s">
        <v>52</v>
      </c>
    </row>
    <row r="23" ht="15.75" customHeight="1"/>
    <row r="24" ht="15.75" customHeight="1">
      <c r="A24" s="10" t="s">
        <v>640</v>
      </c>
    </row>
    <row r="25" ht="17.25" customHeight="1">
      <c r="A25" s="4" t="s">
        <v>641</v>
      </c>
      <c r="B25" s="4" t="s">
        <v>642</v>
      </c>
      <c r="C25" s="15" t="s">
        <v>643</v>
      </c>
      <c r="D25" s="20"/>
      <c r="E25" s="20"/>
      <c r="F25" s="20"/>
      <c r="G25" s="16"/>
      <c r="H25" s="4" t="s">
        <v>644</v>
      </c>
      <c r="I25" s="4" t="s">
        <v>645</v>
      </c>
    </row>
    <row r="26" ht="30.75" customHeight="1">
      <c r="A26" s="5" t="s">
        <v>646</v>
      </c>
      <c r="B26" s="6" t="s">
        <v>647</v>
      </c>
      <c r="C26" s="17" t="s">
        <v>648</v>
      </c>
      <c r="D26" s="20"/>
      <c r="E26" s="20"/>
      <c r="F26" s="20"/>
      <c r="G26" s="16"/>
      <c r="H26" s="6" t="s">
        <v>30</v>
      </c>
      <c r="I26" s="6" t="s">
        <v>649</v>
      </c>
    </row>
    <row r="27" ht="30.75" customHeight="1">
      <c r="A27" s="5" t="s">
        <v>650</v>
      </c>
      <c r="B27" s="6" t="s">
        <v>651</v>
      </c>
      <c r="C27" s="17" t="s">
        <v>652</v>
      </c>
      <c r="D27" s="20"/>
      <c r="E27" s="20"/>
      <c r="F27" s="20"/>
      <c r="G27" s="16"/>
      <c r="H27" s="6" t="s">
        <v>653</v>
      </c>
      <c r="I27" s="6" t="s">
        <v>654</v>
      </c>
    </row>
    <row r="28" ht="30.75" customHeight="1">
      <c r="A28" s="5" t="s">
        <v>655</v>
      </c>
      <c r="B28" s="6" t="s">
        <v>656</v>
      </c>
      <c r="C28" s="17" t="s">
        <v>657</v>
      </c>
      <c r="D28" s="20"/>
      <c r="E28" s="20"/>
      <c r="F28" s="20"/>
      <c r="G28" s="16"/>
      <c r="H28" s="6" t="s">
        <v>658</v>
      </c>
      <c r="I28" s="6" t="s">
        <v>659</v>
      </c>
    </row>
    <row r="29" ht="30.75" customHeight="1">
      <c r="A29" s="5" t="s">
        <v>660</v>
      </c>
      <c r="B29" s="6" t="s">
        <v>661</v>
      </c>
      <c r="C29" s="17" t="s">
        <v>662</v>
      </c>
      <c r="D29" s="20"/>
      <c r="E29" s="20"/>
      <c r="F29" s="20"/>
      <c r="G29" s="16"/>
      <c r="H29" s="6" t="s">
        <v>663</v>
      </c>
      <c r="I29" s="6" t="s">
        <v>664</v>
      </c>
    </row>
    <row r="30" ht="30.75" customHeight="1">
      <c r="A30" s="5" t="s">
        <v>665</v>
      </c>
      <c r="B30" s="6" t="s">
        <v>666</v>
      </c>
      <c r="C30" s="17" t="s">
        <v>667</v>
      </c>
      <c r="D30" s="20"/>
      <c r="E30" s="20"/>
      <c r="F30" s="20"/>
      <c r="G30" s="16"/>
      <c r="H30" s="6" t="s">
        <v>668</v>
      </c>
      <c r="I30" s="6" t="s">
        <v>669</v>
      </c>
    </row>
    <row r="31" ht="17.25" customHeight="1">
      <c r="A31" s="5" t="s">
        <v>670</v>
      </c>
      <c r="B31" s="6" t="s">
        <v>671</v>
      </c>
      <c r="C31" s="17" t="s">
        <v>672</v>
      </c>
      <c r="D31" s="20"/>
      <c r="E31" s="20"/>
      <c r="F31" s="20"/>
      <c r="G31" s="16"/>
      <c r="H31" s="6" t="s">
        <v>673</v>
      </c>
      <c r="I31" s="6" t="s">
        <v>674</v>
      </c>
    </row>
    <row r="32" ht="15.75" customHeight="1">
      <c r="A32" s="14" t="s">
        <v>675</v>
      </c>
    </row>
    <row r="33" ht="15.75" customHeight="1"/>
    <row r="34" ht="15.75" customHeight="1">
      <c r="A34" s="10" t="s">
        <v>676</v>
      </c>
    </row>
    <row r="35" ht="17.25" customHeight="1">
      <c r="A35" s="4" t="s">
        <v>677</v>
      </c>
      <c r="B35" s="4" t="s">
        <v>678</v>
      </c>
      <c r="C35" s="4" t="s">
        <v>679</v>
      </c>
    </row>
    <row r="36" ht="17.25" customHeight="1">
      <c r="A36" s="6" t="s">
        <v>680</v>
      </c>
      <c r="B36" s="5" t="s">
        <v>681</v>
      </c>
      <c r="C36" s="21"/>
    </row>
    <row r="37" ht="17.25" customHeight="1">
      <c r="A37" s="6" t="s">
        <v>682</v>
      </c>
      <c r="B37" s="5" t="s">
        <v>683</v>
      </c>
      <c r="C37" s="22"/>
    </row>
    <row r="38" ht="17.25" customHeight="1">
      <c r="A38" s="6" t="s">
        <v>684</v>
      </c>
      <c r="B38" s="5" t="s">
        <v>685</v>
      </c>
      <c r="C38" s="23"/>
    </row>
    <row r="39" ht="17.25" customHeight="1">
      <c r="A39" s="6" t="s">
        <v>686</v>
      </c>
      <c r="B39" s="5" t="s">
        <v>687</v>
      </c>
      <c r="C39" s="24"/>
    </row>
    <row r="40" ht="17.25" customHeight="1">
      <c r="A40" s="6" t="s">
        <v>688</v>
      </c>
      <c r="B40" s="5" t="s">
        <v>689</v>
      </c>
      <c r="C40" s="25"/>
    </row>
    <row r="41" ht="17.25" customHeight="1">
      <c r="A41" s="6" t="s">
        <v>690</v>
      </c>
      <c r="B41" s="5" t="s">
        <v>691</v>
      </c>
      <c r="C41" s="26"/>
    </row>
    <row r="42" ht="17.25" customHeight="1">
      <c r="A42" s="6" t="s">
        <v>692</v>
      </c>
      <c r="B42" s="5" t="s">
        <v>693</v>
      </c>
      <c r="C42" s="27"/>
    </row>
    <row r="43" ht="17.25" customHeight="1">
      <c r="A43" s="6" t="s">
        <v>694</v>
      </c>
      <c r="B43" s="5" t="s">
        <v>695</v>
      </c>
      <c r="C43" s="28"/>
    </row>
    <row r="44" ht="17.25" customHeight="1">
      <c r="A44" s="6" t="s">
        <v>696</v>
      </c>
      <c r="B44" s="5" t="s">
        <v>697</v>
      </c>
      <c r="C44" s="29"/>
    </row>
    <row r="45" ht="17.25" customHeight="1">
      <c r="A45" s="6" t="s">
        <v>698</v>
      </c>
      <c r="B45" s="5" t="s">
        <v>699</v>
      </c>
      <c r="C45" s="30"/>
    </row>
    <row r="46" ht="17.25" customHeight="1">
      <c r="A46" s="6" t="s">
        <v>700</v>
      </c>
      <c r="B46" s="5" t="s">
        <v>701</v>
      </c>
      <c r="C46" s="31"/>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J2"/>
    <mergeCell ref="C14:G14"/>
    <mergeCell ref="C15:G15"/>
    <mergeCell ref="C16:G16"/>
    <mergeCell ref="C17:G17"/>
    <mergeCell ref="C18:G18"/>
    <mergeCell ref="C19:G19"/>
    <mergeCell ref="C29:G29"/>
    <mergeCell ref="C30:G30"/>
    <mergeCell ref="C31:G31"/>
    <mergeCell ref="C20:G20"/>
    <mergeCell ref="C21:G21"/>
    <mergeCell ref="C22:G22"/>
    <mergeCell ref="C25:G25"/>
    <mergeCell ref="C26:G26"/>
    <mergeCell ref="C27:G27"/>
    <mergeCell ref="C28:G28"/>
  </mergeCells>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5.0"/>
    <col customWidth="1" min="2" max="2" width="18.0"/>
    <col customWidth="1" min="3" max="3" width="40.0"/>
    <col customWidth="1" min="4" max="4" width="52.0"/>
    <col customWidth="1" min="5" max="5" width="40.0"/>
    <col customWidth="1" min="6" max="6" width="12.0"/>
    <col customWidth="1" min="7" max="7" width="30.0"/>
    <col customWidth="1" min="8" max="8" width="12.0"/>
    <col customWidth="1" min="9" max="26" width="8.63"/>
  </cols>
  <sheetData>
    <row r="1">
      <c r="A1" s="1" t="s">
        <v>702</v>
      </c>
    </row>
    <row r="2">
      <c r="A2" s="8" t="s">
        <v>703</v>
      </c>
    </row>
    <row r="4">
      <c r="A4" s="4" t="s">
        <v>612</v>
      </c>
      <c r="B4" s="4" t="s">
        <v>704</v>
      </c>
      <c r="C4" s="4" t="s">
        <v>705</v>
      </c>
      <c r="D4" s="4" t="s">
        <v>706</v>
      </c>
      <c r="E4" s="4" t="s">
        <v>707</v>
      </c>
      <c r="F4" s="4" t="s">
        <v>708</v>
      </c>
      <c r="G4" s="4" t="s">
        <v>709</v>
      </c>
      <c r="H4" s="4" t="s">
        <v>27</v>
      </c>
    </row>
    <row r="5" ht="71.25" customHeight="1">
      <c r="A5" s="5">
        <v>1.0</v>
      </c>
      <c r="B5" s="6" t="s">
        <v>710</v>
      </c>
      <c r="C5" s="6" t="s">
        <v>711</v>
      </c>
      <c r="D5" s="6" t="s">
        <v>712</v>
      </c>
      <c r="E5" s="6" t="s">
        <v>713</v>
      </c>
      <c r="F5" s="5" t="s">
        <v>714</v>
      </c>
      <c r="G5" s="9"/>
      <c r="H5" s="5" t="s">
        <v>715</v>
      </c>
    </row>
    <row r="6" ht="44.25" customHeight="1">
      <c r="A6" s="5">
        <v>2.0</v>
      </c>
      <c r="B6" s="6" t="s">
        <v>716</v>
      </c>
      <c r="C6" s="6" t="s">
        <v>717</v>
      </c>
      <c r="D6" s="6" t="s">
        <v>718</v>
      </c>
      <c r="E6" s="6" t="s">
        <v>719</v>
      </c>
      <c r="F6" s="5" t="s">
        <v>720</v>
      </c>
      <c r="G6" s="9"/>
      <c r="H6" s="5" t="s">
        <v>715</v>
      </c>
    </row>
    <row r="7" ht="30.75" customHeight="1">
      <c r="A7" s="5">
        <v>3.0</v>
      </c>
      <c r="B7" s="6" t="s">
        <v>721</v>
      </c>
      <c r="C7" s="6" t="s">
        <v>722</v>
      </c>
      <c r="D7" s="6" t="s">
        <v>723</v>
      </c>
      <c r="E7" s="6" t="s">
        <v>724</v>
      </c>
      <c r="F7" s="5" t="s">
        <v>725</v>
      </c>
      <c r="G7" s="9"/>
      <c r="H7" s="5" t="s">
        <v>715</v>
      </c>
    </row>
    <row r="8" ht="30.75" customHeight="1">
      <c r="A8" s="5">
        <v>4.0</v>
      </c>
      <c r="B8" s="6" t="s">
        <v>726</v>
      </c>
      <c r="C8" s="6" t="s">
        <v>727</v>
      </c>
      <c r="D8" s="6" t="s">
        <v>728</v>
      </c>
      <c r="E8" s="6" t="s">
        <v>729</v>
      </c>
      <c r="F8" s="5" t="s">
        <v>730</v>
      </c>
      <c r="G8" s="9"/>
      <c r="H8" s="5" t="s">
        <v>715</v>
      </c>
    </row>
    <row r="9" ht="30.75" customHeight="1">
      <c r="A9" s="5">
        <v>5.0</v>
      </c>
      <c r="B9" s="6" t="s">
        <v>731</v>
      </c>
      <c r="C9" s="6" t="s">
        <v>732</v>
      </c>
      <c r="D9" s="6" t="s">
        <v>733</v>
      </c>
      <c r="E9" s="6" t="s">
        <v>734</v>
      </c>
      <c r="F9" s="5" t="s">
        <v>735</v>
      </c>
      <c r="G9" s="9"/>
      <c r="H9" s="5" t="s">
        <v>715</v>
      </c>
    </row>
    <row r="10" ht="30.75" customHeight="1">
      <c r="A10" s="5">
        <v>6.0</v>
      </c>
      <c r="B10" s="6" t="s">
        <v>736</v>
      </c>
      <c r="C10" s="6" t="s">
        <v>737</v>
      </c>
      <c r="D10" s="6" t="s">
        <v>738</v>
      </c>
      <c r="E10" s="6" t="s">
        <v>739</v>
      </c>
      <c r="F10" s="5" t="s">
        <v>740</v>
      </c>
      <c r="G10" s="9"/>
      <c r="H10" s="5" t="s">
        <v>715</v>
      </c>
    </row>
    <row r="11" ht="30.75" customHeight="1">
      <c r="A11" s="5">
        <v>7.0</v>
      </c>
      <c r="B11" s="6" t="s">
        <v>741</v>
      </c>
      <c r="C11" s="6" t="s">
        <v>742</v>
      </c>
      <c r="D11" s="6" t="s">
        <v>743</v>
      </c>
      <c r="E11" s="6" t="s">
        <v>744</v>
      </c>
      <c r="F11" s="5" t="s">
        <v>745</v>
      </c>
      <c r="G11" s="9"/>
      <c r="H11" s="5" t="s">
        <v>715</v>
      </c>
    </row>
    <row r="12" ht="44.25" customHeight="1">
      <c r="A12" s="5">
        <v>8.0</v>
      </c>
      <c r="B12" s="6" t="s">
        <v>746</v>
      </c>
      <c r="C12" s="6" t="s">
        <v>747</v>
      </c>
      <c r="D12" s="6" t="s">
        <v>748</v>
      </c>
      <c r="E12" s="6" t="s">
        <v>749</v>
      </c>
      <c r="F12" s="5" t="s">
        <v>750</v>
      </c>
      <c r="G12" s="9"/>
      <c r="H12" s="5" t="s">
        <v>715</v>
      </c>
    </row>
    <row r="13" ht="30.75" customHeight="1">
      <c r="A13" s="5">
        <v>9.0</v>
      </c>
      <c r="B13" s="6" t="s">
        <v>751</v>
      </c>
      <c r="C13" s="6" t="s">
        <v>752</v>
      </c>
      <c r="D13" s="6" t="s">
        <v>753</v>
      </c>
      <c r="E13" s="6" t="s">
        <v>754</v>
      </c>
      <c r="F13" s="5" t="s">
        <v>755</v>
      </c>
      <c r="G13" s="9"/>
      <c r="H13" s="5" t="s">
        <v>715</v>
      </c>
    </row>
    <row r="14" ht="30.75" customHeight="1">
      <c r="A14" s="5">
        <v>10.0</v>
      </c>
      <c r="B14" s="6" t="s">
        <v>756</v>
      </c>
      <c r="C14" s="6" t="s">
        <v>757</v>
      </c>
      <c r="D14" s="6" t="s">
        <v>758</v>
      </c>
      <c r="E14" s="6" t="s">
        <v>759</v>
      </c>
      <c r="F14" s="5" t="s">
        <v>760</v>
      </c>
      <c r="G14" s="9"/>
      <c r="H14" s="5" t="s">
        <v>715</v>
      </c>
    </row>
    <row r="15" ht="30.75" customHeight="1">
      <c r="A15" s="5">
        <v>11.0</v>
      </c>
      <c r="B15" s="6" t="s">
        <v>761</v>
      </c>
      <c r="C15" s="6" t="s">
        <v>762</v>
      </c>
      <c r="D15" s="6" t="s">
        <v>763</v>
      </c>
      <c r="E15" s="6" t="s">
        <v>764</v>
      </c>
      <c r="F15" s="5" t="s">
        <v>765</v>
      </c>
      <c r="G15" s="9"/>
      <c r="H15" s="5" t="s">
        <v>715</v>
      </c>
    </row>
    <row r="16" ht="30.75" customHeight="1">
      <c r="A16" s="5">
        <v>12.0</v>
      </c>
      <c r="B16" s="6" t="s">
        <v>766</v>
      </c>
      <c r="C16" s="6" t="s">
        <v>767</v>
      </c>
      <c r="D16" s="6" t="s">
        <v>768</v>
      </c>
      <c r="E16" s="6" t="s">
        <v>769</v>
      </c>
      <c r="F16" s="5" t="s">
        <v>770</v>
      </c>
      <c r="G16" s="9"/>
      <c r="H16" s="5" t="s">
        <v>715</v>
      </c>
    </row>
    <row r="17" ht="30.75" customHeight="1">
      <c r="A17" s="5">
        <v>13.0</v>
      </c>
      <c r="B17" s="6" t="s">
        <v>771</v>
      </c>
      <c r="C17" s="6" t="s">
        <v>772</v>
      </c>
      <c r="D17" s="6" t="s">
        <v>773</v>
      </c>
      <c r="E17" s="6" t="s">
        <v>774</v>
      </c>
      <c r="F17" s="5" t="s">
        <v>775</v>
      </c>
      <c r="G17" s="9"/>
      <c r="H17" s="5" t="s">
        <v>715</v>
      </c>
    </row>
    <row r="18" ht="30.75" customHeight="1">
      <c r="A18" s="5">
        <v>14.0</v>
      </c>
      <c r="B18" s="6" t="s">
        <v>776</v>
      </c>
      <c r="C18" s="6" t="s">
        <v>777</v>
      </c>
      <c r="D18" s="6" t="s">
        <v>778</v>
      </c>
      <c r="E18" s="6" t="s">
        <v>779</v>
      </c>
      <c r="F18" s="5" t="s">
        <v>780</v>
      </c>
      <c r="G18" s="9"/>
      <c r="H18" s="5" t="s">
        <v>715</v>
      </c>
    </row>
    <row r="19" ht="44.25" customHeight="1">
      <c r="A19" s="5">
        <v>15.0</v>
      </c>
      <c r="B19" s="6" t="s">
        <v>781</v>
      </c>
      <c r="C19" s="6" t="s">
        <v>782</v>
      </c>
      <c r="D19" s="6" t="s">
        <v>783</v>
      </c>
      <c r="E19" s="6" t="s">
        <v>784</v>
      </c>
      <c r="F19" s="5" t="s">
        <v>785</v>
      </c>
      <c r="G19" s="9"/>
      <c r="H19" s="5" t="s">
        <v>715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H5:H19">
      <formula1>"Open,Asked,Answered"</formula1>
    </dataValidation>
  </dataValidations>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0"/>
    <col customWidth="1" min="2" max="2" width="24.0"/>
    <col customWidth="1" min="3" max="3" width="70.0"/>
    <col customWidth="1" min="4" max="4" width="9.0"/>
    <col customWidth="1" min="5" max="5" width="11.0"/>
    <col customWidth="1" min="6" max="6" width="13.0"/>
    <col customWidth="1" min="7" max="7" width="9.0"/>
    <col customWidth="1" min="8" max="26" width="8.63"/>
  </cols>
  <sheetData>
    <row r="1">
      <c r="A1" s="1" t="s">
        <v>786</v>
      </c>
    </row>
    <row r="2">
      <c r="A2" s="8" t="s">
        <v>787</v>
      </c>
    </row>
    <row r="4">
      <c r="A4" s="4" t="s">
        <v>21</v>
      </c>
      <c r="B4" s="4" t="s">
        <v>788</v>
      </c>
      <c r="C4" s="4" t="s">
        <v>789</v>
      </c>
      <c r="D4" s="4" t="s">
        <v>518</v>
      </c>
      <c r="E4" s="4" t="s">
        <v>26</v>
      </c>
      <c r="F4" s="4" t="s">
        <v>790</v>
      </c>
      <c r="G4" s="4" t="s">
        <v>521</v>
      </c>
    </row>
    <row r="5" ht="30.75" customHeight="1">
      <c r="A5" s="5" t="s">
        <v>34</v>
      </c>
      <c r="B5" s="6" t="s">
        <v>791</v>
      </c>
      <c r="C5" s="6" t="s">
        <v>792</v>
      </c>
      <c r="D5" s="5">
        <f>COUNTIF('Functional Requirements'!$G:$G,$A5)</f>
        <v>6</v>
      </c>
      <c r="E5" s="5">
        <f>SUMIF('Functional Requirements'!$G:$G,$A5,'Functional Requirements'!$L:$L)</f>
        <v>11</v>
      </c>
      <c r="F5" s="5">
        <f>COUNTIFS('Functional Requirements'!$G:$G,$A5,'Functional Requirements'!$M:$M,"Done")+COUNTIFS('Functional Requirements'!$G:$G,$A5,'Functional Requirements'!$M:$M,"Tested")</f>
        <v>0</v>
      </c>
      <c r="G5" s="11">
        <f t="shared" ref="G5:G18" si="1">IFERROR(F5/D5,0)</f>
        <v>0</v>
      </c>
    </row>
    <row r="6" ht="30.75" customHeight="1">
      <c r="A6" s="5" t="s">
        <v>115</v>
      </c>
      <c r="B6" s="6" t="s">
        <v>111</v>
      </c>
      <c r="C6" s="6" t="s">
        <v>793</v>
      </c>
      <c r="D6" s="5">
        <f>COUNTIF('Functional Requirements'!$G:$G,$A6)</f>
        <v>10</v>
      </c>
      <c r="E6" s="5">
        <f>SUMIF('Functional Requirements'!$G:$G,$A6,'Functional Requirements'!$L:$L)</f>
        <v>18</v>
      </c>
      <c r="F6" s="5">
        <f>COUNTIFS('Functional Requirements'!$G:$G,$A6,'Functional Requirements'!$M:$M,"Done")+COUNTIFS('Functional Requirements'!$G:$G,$A6,'Functional Requirements'!$M:$M,"Tested")</f>
        <v>0</v>
      </c>
      <c r="G6" s="11">
        <f t="shared" si="1"/>
        <v>0</v>
      </c>
    </row>
    <row r="7" ht="44.25" customHeight="1">
      <c r="A7" s="5" t="s">
        <v>62</v>
      </c>
      <c r="B7" s="6" t="s">
        <v>794</v>
      </c>
      <c r="C7" s="6" t="s">
        <v>795</v>
      </c>
      <c r="D7" s="5">
        <f>COUNTIF('Functional Requirements'!$G:$G,$A7)</f>
        <v>16</v>
      </c>
      <c r="E7" s="5">
        <f>SUMIF('Functional Requirements'!$G:$G,$A7,'Functional Requirements'!$L:$L)</f>
        <v>27</v>
      </c>
      <c r="F7" s="5">
        <f>COUNTIFS('Functional Requirements'!$G:$G,$A7,'Functional Requirements'!$M:$M,"Done")+COUNTIFS('Functional Requirements'!$G:$G,$A7,'Functional Requirements'!$M:$M,"Tested")</f>
        <v>0</v>
      </c>
      <c r="G7" s="11">
        <f t="shared" si="1"/>
        <v>0</v>
      </c>
    </row>
    <row r="8" ht="44.25" customHeight="1">
      <c r="A8" s="5" t="s">
        <v>65</v>
      </c>
      <c r="B8" s="6" t="s">
        <v>796</v>
      </c>
      <c r="C8" s="6" t="s">
        <v>797</v>
      </c>
      <c r="D8" s="5">
        <f>COUNTIF('Functional Requirements'!$G:$G,$A8)</f>
        <v>24</v>
      </c>
      <c r="E8" s="5">
        <f>SUMIF('Functional Requirements'!$G:$G,$A8,'Functional Requirements'!$L:$L)</f>
        <v>46</v>
      </c>
      <c r="F8" s="5">
        <f>COUNTIFS('Functional Requirements'!$G:$G,$A8,'Functional Requirements'!$M:$M,"Done")+COUNTIFS('Functional Requirements'!$G:$G,$A8,'Functional Requirements'!$M:$M,"Tested")</f>
        <v>0</v>
      </c>
      <c r="G8" s="11">
        <f t="shared" si="1"/>
        <v>0</v>
      </c>
    </row>
    <row r="9" ht="44.25" customHeight="1">
      <c r="A9" s="5" t="s">
        <v>270</v>
      </c>
      <c r="B9" s="6" t="s">
        <v>798</v>
      </c>
      <c r="C9" s="6" t="s">
        <v>799</v>
      </c>
      <c r="D9" s="5">
        <f>COUNTIF('Functional Requirements'!$G:$G,$A9)</f>
        <v>15</v>
      </c>
      <c r="E9" s="5">
        <f>SUMIF('Functional Requirements'!$G:$G,$A9,'Functional Requirements'!$L:$L)</f>
        <v>28</v>
      </c>
      <c r="F9" s="5">
        <f>COUNTIFS('Functional Requirements'!$G:$G,$A9,'Functional Requirements'!$M:$M,"Done")+COUNTIFS('Functional Requirements'!$G:$G,$A9,'Functional Requirements'!$M:$M,"Tested")</f>
        <v>0</v>
      </c>
      <c r="G9" s="11">
        <f t="shared" si="1"/>
        <v>0</v>
      </c>
    </row>
    <row r="10" ht="30.75" customHeight="1">
      <c r="A10" s="5" t="s">
        <v>297</v>
      </c>
      <c r="B10" s="6" t="s">
        <v>800</v>
      </c>
      <c r="C10" s="6" t="s">
        <v>801</v>
      </c>
      <c r="D10" s="5">
        <f>COUNTIF('Functional Requirements'!$G:$G,$A10)</f>
        <v>5</v>
      </c>
      <c r="E10" s="5">
        <f>SUMIF('Functional Requirements'!$G:$G,$A10,'Functional Requirements'!$L:$L)</f>
        <v>6</v>
      </c>
      <c r="F10" s="5">
        <f>COUNTIFS('Functional Requirements'!$G:$G,$A10,'Functional Requirements'!$M:$M,"Done")+COUNTIFS('Functional Requirements'!$G:$G,$A10,'Functional Requirements'!$M:$M,"Tested")</f>
        <v>0</v>
      </c>
      <c r="G10" s="11">
        <f t="shared" si="1"/>
        <v>0</v>
      </c>
    </row>
    <row r="11" ht="30.75" customHeight="1">
      <c r="A11" s="5" t="s">
        <v>75</v>
      </c>
      <c r="B11" s="6" t="s">
        <v>802</v>
      </c>
      <c r="C11" s="6" t="s">
        <v>803</v>
      </c>
      <c r="D11" s="5">
        <f>COUNTIF('Functional Requirements'!$G:$G,$A11)</f>
        <v>4</v>
      </c>
      <c r="E11" s="5">
        <f>SUMIF('Functional Requirements'!$G:$G,$A11,'Functional Requirements'!$L:$L)</f>
        <v>5</v>
      </c>
      <c r="F11" s="5">
        <f>COUNTIFS('Functional Requirements'!$G:$G,$A11,'Functional Requirements'!$M:$M,"Done")+COUNTIFS('Functional Requirements'!$G:$G,$A11,'Functional Requirements'!$M:$M,"Tested")</f>
        <v>0</v>
      </c>
      <c r="G11" s="11">
        <f t="shared" si="1"/>
        <v>0</v>
      </c>
    </row>
    <row r="12" ht="30.75" customHeight="1">
      <c r="A12" s="5" t="s">
        <v>51</v>
      </c>
      <c r="B12" s="6" t="s">
        <v>804</v>
      </c>
      <c r="C12" s="6" t="s">
        <v>805</v>
      </c>
      <c r="D12" s="5">
        <f>COUNTIF('Functional Requirements'!$G:$G,$A12)</f>
        <v>11</v>
      </c>
      <c r="E12" s="5">
        <f>SUMIF('Functional Requirements'!$G:$G,$A12,'Functional Requirements'!$L:$L)</f>
        <v>39</v>
      </c>
      <c r="F12" s="5">
        <f>COUNTIFS('Functional Requirements'!$G:$G,$A12,'Functional Requirements'!$M:$M,"Done")+COUNTIFS('Functional Requirements'!$G:$G,$A12,'Functional Requirements'!$M:$M,"Tested")</f>
        <v>0</v>
      </c>
      <c r="G12" s="11">
        <f t="shared" si="1"/>
        <v>0</v>
      </c>
    </row>
    <row r="13" ht="30.75" customHeight="1">
      <c r="A13" s="5" t="s">
        <v>55</v>
      </c>
      <c r="B13" s="6" t="s">
        <v>806</v>
      </c>
      <c r="C13" s="6" t="s">
        <v>807</v>
      </c>
      <c r="D13" s="5">
        <f>COUNTIF('Functional Requirements'!$G:$G,$A13)</f>
        <v>18</v>
      </c>
      <c r="E13" s="5">
        <f>SUMIF('Functional Requirements'!$G:$G,$A13,'Functional Requirements'!$L:$L)</f>
        <v>32</v>
      </c>
      <c r="F13" s="5">
        <f>COUNTIFS('Functional Requirements'!$G:$G,$A13,'Functional Requirements'!$M:$M,"Done")+COUNTIFS('Functional Requirements'!$G:$G,$A13,'Functional Requirements'!$M:$M,"Tested")</f>
        <v>0</v>
      </c>
      <c r="G13" s="11">
        <f t="shared" si="1"/>
        <v>0</v>
      </c>
    </row>
    <row r="14" ht="30.75" customHeight="1">
      <c r="A14" s="5" t="s">
        <v>59</v>
      </c>
      <c r="B14" s="6" t="s">
        <v>808</v>
      </c>
      <c r="C14" s="6" t="s">
        <v>809</v>
      </c>
      <c r="D14" s="5">
        <f>COUNTIF('Functional Requirements'!$G:$G,$A14)</f>
        <v>11</v>
      </c>
      <c r="E14" s="5">
        <f>SUMIF('Functional Requirements'!$G:$G,$A14,'Functional Requirements'!$L:$L)</f>
        <v>17</v>
      </c>
      <c r="F14" s="5">
        <f>COUNTIFS('Functional Requirements'!$G:$G,$A14,'Functional Requirements'!$M:$M,"Done")+COUNTIFS('Functional Requirements'!$G:$G,$A14,'Functional Requirements'!$M:$M,"Tested")</f>
        <v>0</v>
      </c>
      <c r="G14" s="11">
        <f t="shared" si="1"/>
        <v>0</v>
      </c>
    </row>
    <row r="15" ht="30.75" customHeight="1">
      <c r="A15" s="5" t="s">
        <v>95</v>
      </c>
      <c r="B15" s="6" t="s">
        <v>810</v>
      </c>
      <c r="C15" s="6" t="s">
        <v>811</v>
      </c>
      <c r="D15" s="5">
        <f>COUNTIF('Functional Requirements'!$G:$G,$A15)</f>
        <v>7</v>
      </c>
      <c r="E15" s="5">
        <f>SUMIF('Functional Requirements'!$G:$G,$A15,'Functional Requirements'!$L:$L)</f>
        <v>10</v>
      </c>
      <c r="F15" s="5">
        <f>COUNTIFS('Functional Requirements'!$G:$G,$A15,'Functional Requirements'!$M:$M,"Done")+COUNTIFS('Functional Requirements'!$G:$G,$A15,'Functional Requirements'!$M:$M,"Tested")</f>
        <v>0</v>
      </c>
      <c r="G15" s="11">
        <f t="shared" si="1"/>
        <v>0</v>
      </c>
    </row>
    <row r="16" ht="30.75" customHeight="1">
      <c r="A16" s="5" t="s">
        <v>81</v>
      </c>
      <c r="B16" s="6" t="s">
        <v>383</v>
      </c>
      <c r="C16" s="6" t="s">
        <v>812</v>
      </c>
      <c r="D16" s="5">
        <f>COUNTIF('Functional Requirements'!$G:$G,$A16)</f>
        <v>6</v>
      </c>
      <c r="E16" s="5">
        <f>SUMIF('Functional Requirements'!$G:$G,$A16,'Functional Requirements'!$L:$L)</f>
        <v>9</v>
      </c>
      <c r="F16" s="5">
        <f>COUNTIFS('Functional Requirements'!$G:$G,$A16,'Functional Requirements'!$M:$M,"Done")+COUNTIFS('Functional Requirements'!$G:$G,$A16,'Functional Requirements'!$M:$M,"Tested")</f>
        <v>0</v>
      </c>
      <c r="G16" s="11">
        <f t="shared" si="1"/>
        <v>0</v>
      </c>
    </row>
    <row r="17" ht="30.75" customHeight="1">
      <c r="A17" s="5" t="s">
        <v>40</v>
      </c>
      <c r="B17" s="6" t="s">
        <v>395</v>
      </c>
      <c r="C17" s="6" t="s">
        <v>813</v>
      </c>
      <c r="D17" s="5">
        <f>COUNTIF('Functional Requirements'!$G:$G,$A17)</f>
        <v>9</v>
      </c>
      <c r="E17" s="5">
        <f>SUMIF('Functional Requirements'!$G:$G,$A17,'Functional Requirements'!$L:$L)</f>
        <v>14</v>
      </c>
      <c r="F17" s="5">
        <f>COUNTIFS('Functional Requirements'!$G:$G,$A17,'Functional Requirements'!$M:$M,"Done")+COUNTIFS('Functional Requirements'!$G:$G,$A17,'Functional Requirements'!$M:$M,"Tested")</f>
        <v>0</v>
      </c>
      <c r="G17" s="11">
        <f t="shared" si="1"/>
        <v>0</v>
      </c>
    </row>
    <row r="18">
      <c r="A18" s="32"/>
      <c r="B18" s="32" t="s">
        <v>406</v>
      </c>
      <c r="C18" s="32"/>
      <c r="D18" s="12">
        <f t="shared" ref="D18:F18" si="2">SUM(D5:D17)</f>
        <v>142</v>
      </c>
      <c r="E18" s="12">
        <f t="shared" si="2"/>
        <v>262</v>
      </c>
      <c r="F18" s="12">
        <f t="shared" si="2"/>
        <v>0</v>
      </c>
      <c r="G18" s="13">
        <f t="shared" si="1"/>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